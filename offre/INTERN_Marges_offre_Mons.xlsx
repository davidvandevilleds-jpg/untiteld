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zicht" sheetId="1" state="visible" r:id="rId1"/>
    <sheet xmlns:r="http://schemas.openxmlformats.org/officeDocument/2006/relationships" name="Instellingen" sheetId="2" state="visible" r:id="rId2"/>
    <sheet xmlns:r="http://schemas.openxmlformats.org/officeDocument/2006/relationships" name="Materialen" sheetId="3" state="visible" r:id="rId3"/>
    <sheet xmlns:r="http://schemas.openxmlformats.org/officeDocument/2006/relationships" name="Lot 1" sheetId="4" state="visible" r:id="rId4"/>
    <sheet xmlns:r="http://schemas.openxmlformats.org/officeDocument/2006/relationships" name="Lot 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.00 &quot;€&quot;"/>
    <numFmt numFmtId="166" formatCode="0.0"/>
    <numFmt numFmtId="167" formatCode="0.000"/>
  </numFmts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7F7F7F"/>
    </font>
    <font>
      <b val="1"/>
      <color rgb="00FFFFFF"/>
    </font>
    <font>
      <b val="1"/>
    </font>
    <font>
      <i val="1"/>
      <sz val="8"/>
    </font>
    <font>
      <i val="1"/>
      <color rgb="00C00000"/>
    </font>
    <font/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3" fillId="3" borderId="0" applyAlignment="1" pivotButton="0" quotePrefix="0" xfId="0">
      <alignment wrapText="1"/>
    </xf>
    <xf numFmtId="0" fontId="4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0" borderId="1" pivotButton="0" quotePrefix="0" xfId="0"/>
    <xf numFmtId="165" fontId="4" fillId="0" borderId="1" pivotButton="0" quotePrefix="0" xfId="0"/>
    <xf numFmtId="164" fontId="4" fillId="0" borderId="1" pivotButton="0" quotePrefix="0" xfId="0"/>
    <xf numFmtId="0" fontId="4" fillId="0" borderId="0" pivotButton="0" quotePrefix="0" xfId="0"/>
    <xf numFmtId="0" fontId="7" fillId="0" borderId="0" pivotButton="0" quotePrefix="0" xfId="0"/>
    <xf numFmtId="164" fontId="0" fillId="2" borderId="1" pivotButton="0" quotePrefix="0" xfId="0"/>
    <xf numFmtId="0" fontId="2" fillId="0" borderId="0" pivotButton="0" quotePrefix="0" xfId="0"/>
    <xf numFmtId="165" fontId="0" fillId="2" borderId="1" pivotButton="0" quotePrefix="0" xfId="0"/>
    <xf numFmtId="1" fontId="0" fillId="2" borderId="1" pivotButton="0" quotePrefix="0" xfId="0"/>
    <xf numFmtId="166" fontId="0" fillId="2" borderId="1" pivotButton="0" quotePrefix="0" xfId="0"/>
    <xf numFmtId="0" fontId="3" fillId="3" borderId="0" applyAlignment="1" pivotButton="0" quotePrefix="0" xfId="0">
      <alignment vertical="center" wrapText="1"/>
    </xf>
    <xf numFmtId="0" fontId="0" fillId="2" borderId="1" pivotButton="0" quotePrefix="0" xfId="0"/>
    <xf numFmtId="2" fontId="0" fillId="2" borderId="1" pivotButton="0" quotePrefix="0" xfId="0"/>
    <xf numFmtId="167" fontId="0" fillId="0" borderId="1" pivotButton="0" quotePrefix="0" xfId="0"/>
    <xf numFmtId="0" fontId="5" fillId="0" borderId="0" pivotButton="0" quotePrefix="0" xfId="0"/>
    <xf numFmtId="164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8CBAD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  <dxf>
      <font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Marge-overzicht offerte Ville de Mons – BO.F.2026/Signalétique int &amp; ext/GC</t>
        </is>
      </c>
    </row>
    <row r="2">
      <c r="A2" s="2" t="inlineStr">
        <is>
          <t>INTERN – niet bij de offerte voegen. Verkoopprijzen = ingediende offerte; aankoopprijzen = invullen uit Igepa (tab Materialen).</t>
        </is>
      </c>
    </row>
    <row r="4" ht="45" customHeight="1">
      <c r="A4" s="3" t="inlineStr"/>
      <c r="B4" s="3" t="inlineStr">
        <is>
          <t>Totaal verkoop excl. btw</t>
        </is>
      </c>
      <c r="C4" s="3" t="inlineStr">
        <is>
          <t>Verkoop posten met volledige kost</t>
        </is>
      </c>
      <c r="D4" s="3" t="inlineStr">
        <is>
          <t>Kost (volledige posten)</t>
        </is>
      </c>
      <c r="E4" s="3" t="inlineStr">
        <is>
          <t>Marge (volledige posten)</t>
        </is>
      </c>
      <c r="F4" s="3" t="inlineStr">
        <is>
          <t>Marge %</t>
        </is>
      </c>
      <c r="G4" s="3" t="inlineStr">
        <is>
          <t>Posten niet volledig</t>
        </is>
      </c>
    </row>
    <row r="5">
      <c r="A5" s="4" t="inlineStr">
        <is>
          <t>Lot 1</t>
        </is>
      </c>
      <c r="B5" s="5">
        <f>'Lot 1'!Z36</f>
        <v/>
      </c>
      <c r="C5" s="5">
        <f>'Lot 1'!Y36</f>
        <v/>
      </c>
      <c r="D5" s="5">
        <f>'Lot 1'!AA36</f>
        <v/>
      </c>
      <c r="E5" s="5">
        <f>'Lot 1'!AB36</f>
        <v/>
      </c>
      <c r="F5" s="6">
        <f>IF(C5=0,"",E5/C5)</f>
        <v/>
      </c>
      <c r="G5" s="7">
        <f>COUNTIF('Lot 1'!AC2:AC34,"&lt;&gt;OK")</f>
        <v/>
      </c>
    </row>
    <row r="6">
      <c r="A6" s="4" t="inlineStr">
        <is>
          <t>Lot 2</t>
        </is>
      </c>
      <c r="B6" s="5">
        <f>'Lot 2'!Z133</f>
        <v/>
      </c>
      <c r="C6" s="5">
        <f>'Lot 2'!Y133</f>
        <v/>
      </c>
      <c r="D6" s="5">
        <f>'Lot 2'!AA133</f>
        <v/>
      </c>
      <c r="E6" s="5">
        <f>'Lot 2'!AB133</f>
        <v/>
      </c>
      <c r="F6" s="6">
        <f>IF(C6=0,"",E6/C6)</f>
        <v/>
      </c>
      <c r="G6" s="7">
        <f>COUNTIF('Lot 2'!AC2:AC131,"&lt;&gt;OK")</f>
        <v/>
      </c>
    </row>
    <row r="7">
      <c r="A7" s="4" t="inlineStr">
        <is>
          <t>Totaal</t>
        </is>
      </c>
      <c r="B7" s="8">
        <f>SUM(B5:B6)</f>
        <v/>
      </c>
      <c r="C7" s="8">
        <f>SUM(C5:C6)</f>
        <v/>
      </c>
      <c r="D7" s="8">
        <f>SUM(D5:D6)</f>
        <v/>
      </c>
      <c r="E7" s="8">
        <f>SUM(E5:E6)</f>
        <v/>
      </c>
      <c r="F7" s="9">
        <f>IF(C7=0,"",E7/C7)</f>
        <v/>
      </c>
      <c r="G7" s="4">
        <f>SUM(G5:G6)</f>
        <v/>
      </c>
    </row>
    <row r="10">
      <c r="A10" s="10" t="inlineStr">
        <is>
          <t>Werkwijze:</t>
        </is>
      </c>
    </row>
    <row r="11">
      <c r="A11" s="11" t="inlineStr">
        <is>
          <t>1. Tab Materialen: per materiaal het Igepa-artikel kiezen, aankoopformaat, m² per rol/plaat en uw nettoprijs invullen (gele cellen).</t>
        </is>
      </c>
    </row>
    <row r="12">
      <c r="A12" s="11" t="inlineStr">
        <is>
          <t>2. Tab Instellingen: inktprijs/verbruik, afval % en intern uurtarief invullen.</t>
        </is>
      </c>
    </row>
    <row r="13">
      <c r="A13" s="11" t="inlineStr">
        <is>
          <t>3. Tabs Lot 1 / Lot 2: per post eventueel arbeidsminuten en overige kosten (hoogwerker, transport) invullen.</t>
        </is>
      </c>
    </row>
    <row r="14">
      <c r="A14" s="11" t="inlineStr">
        <is>
          <t>4. Kolom 'Marge %' kleurt rood onder de doelmarge, oranje tot +15 punten, groen daarboven.</t>
        </is>
      </c>
    </row>
    <row r="15">
      <c r="A15" s="11" t="inlineStr">
        <is>
          <t>5. 'Verkoop / m²' vs 'Aankoop mat. / m²' toont per post de factor tussen verkoop en materiaalprijs.</t>
        </is>
      </c>
    </row>
    <row r="16">
      <c r="A16" s="11" t="inlineStr">
        <is>
          <t>Aannames om te controleren: verbruik in m² = nettoformaat × (1 + afval %); oogjes geteld volgens bestek (om de 30/50 cm);</t>
        </is>
      </c>
    </row>
    <row r="17">
      <c r="A17" s="11" t="inlineStr">
        <is>
          <t>zomen, gaines en lasnaden niet apart in m² meegerekend; posten 22 (per 10) en 23 (per stuk) volgen de interpretatie uit de offerte.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55" customWidth="1" min="3" max="3"/>
  </cols>
  <sheetData>
    <row r="1">
      <c r="A1" s="1" t="inlineStr">
        <is>
          <t>Instellingen kostprijsberekening (gele cellen = invullen)</t>
        </is>
      </c>
    </row>
    <row r="3">
      <c r="A3" t="inlineStr">
        <is>
          <t>Afval % rolmedia (zeil, vinyl, textiel, film)</t>
        </is>
      </c>
      <c r="B3" s="12" t="n">
        <v>0.1</v>
      </c>
      <c r="C3" s="13" t="inlineStr">
        <is>
          <t>Aanname – aanpassen aan uw praktijk</t>
        </is>
      </c>
    </row>
    <row r="4">
      <c r="A4" t="inlineStr">
        <is>
          <t>Afval % plaatmateriaal (Forex, Dibond, plexi, karton, biprint)</t>
        </is>
      </c>
      <c r="B4" s="12" t="n">
        <v>0.15</v>
      </c>
      <c r="C4" s="13" t="inlineStr">
        <is>
          <t>Aanname – hangt af van nesting op plaatformaat</t>
        </is>
      </c>
    </row>
    <row r="5">
      <c r="A5" t="inlineStr">
        <is>
          <t>Latex-inkt: prijs per cartridge excl. btw</t>
        </is>
      </c>
      <c r="B5" s="14" t="n"/>
      <c r="C5" s="13" t="inlineStr">
        <is>
          <t>Uit Igepa (bv. HP Latex 775 ml / 1 L)</t>
        </is>
      </c>
    </row>
    <row r="6">
      <c r="A6" t="inlineStr">
        <is>
          <t>Latex-inkt: ml per cartridge</t>
        </is>
      </c>
      <c r="B6" s="15" t="n"/>
      <c r="C6" s="13" t="inlineStr">
        <is>
          <t>bv. 775 of 1000</t>
        </is>
      </c>
    </row>
    <row r="7">
      <c r="A7" t="inlineStr">
        <is>
          <t>Latex-inkt: verbruik ml per m²</t>
        </is>
      </c>
      <c r="B7" s="16" t="n"/>
      <c r="C7" s="13" t="inlineStr">
        <is>
          <t>Uit uw RIP / printerlog, per printmodus</t>
        </is>
      </c>
    </row>
    <row r="8">
      <c r="A8" t="inlineStr">
        <is>
          <t>Inktkost per m² (berekend)</t>
        </is>
      </c>
      <c r="B8" s="5">
        <f>IF(AND(B5&gt;0,B6&gt;0,B7&gt;0),B5/B6*B7,0)</f>
        <v/>
      </c>
      <c r="C8" s="13" t="inlineStr">
        <is>
          <t>prijs ÷ ml per cartridge × ml/m²</t>
        </is>
      </c>
    </row>
    <row r="9">
      <c r="A9" t="inlineStr">
        <is>
          <t>Intern uurtarief (loonkost) excl. btw</t>
        </is>
      </c>
      <c r="B9" s="14" t="n"/>
      <c r="C9" s="13" t="inlineStr">
        <is>
          <t>Voor de kolom arbeid in Lot 1 / Lot 2</t>
        </is>
      </c>
    </row>
    <row r="10">
      <c r="A10" t="inlineStr">
        <is>
          <t>Doelmarge (ondergrens, voor kleurcode)</t>
        </is>
      </c>
      <c r="B10" s="12" t="n">
        <v>0.35</v>
      </c>
      <c r="C10" s="13" t="inlineStr">
        <is>
          <t>Rood onder deze marge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2" customWidth="1" min="2" max="2"/>
    <col width="32" customWidth="1" min="3" max="3"/>
    <col width="7" customWidth="1" min="4" max="4"/>
    <col width="8" customWidth="1" min="5" max="5"/>
    <col width="30" customWidth="1" min="6" max="6"/>
    <col width="13" customWidth="1" min="7" max="7"/>
    <col width="15" customWidth="1" min="8" max="8"/>
    <col width="15" customWidth="1" min="9" max="9"/>
    <col width="14" customWidth="1" min="10" max="10"/>
    <col width="30" customWidth="1" min="11" max="11"/>
  </cols>
  <sheetData>
    <row r="1" ht="45" customHeight="1">
      <c r="A1" s="17" t="inlineStr">
        <is>
          <t>ID</t>
        </is>
      </c>
      <c r="B1" s="17" t="inlineStr">
        <is>
          <t>Materiaal (eis uit bestek)</t>
        </is>
      </c>
      <c r="C1" s="17" t="inlineStr">
        <is>
          <t>Zoekterm Igepa</t>
        </is>
      </c>
      <c r="D1" s="17" t="inlineStr">
        <is>
          <t>Type</t>
        </is>
      </c>
      <c r="E1" s="17" t="inlineStr">
        <is>
          <t>Bedrukt (J/N)</t>
        </is>
      </c>
      <c r="F1" s="17" t="inlineStr">
        <is>
          <t>Aankoopformaat (bv. rol 1,60 x 50 m / plaat 3,05 x 2,03 m)</t>
        </is>
      </c>
      <c r="G1" s="17" t="inlineStr">
        <is>
          <t>m² per aankoopeenheid (stukgoed: aantal stuks per verpakking)</t>
        </is>
      </c>
      <c r="H1" s="17" t="inlineStr">
        <is>
          <t>Aankoopprijs per eenheid excl. btw</t>
        </is>
      </c>
      <c r="I1" s="17" t="inlineStr">
        <is>
          <t>Aankoopprijs per m² / stuk</t>
        </is>
      </c>
      <c r="J1" s="17" t="inlineStr">
        <is>
          <t>Igepa artikelnr.</t>
        </is>
      </c>
      <c r="K1" s="17" t="inlineStr">
        <is>
          <t>Opmerking</t>
        </is>
      </c>
    </row>
    <row r="2">
      <c r="A2" s="7" t="inlineStr">
        <is>
          <t>M01</t>
        </is>
      </c>
      <c r="B2" s="7" t="inlineStr">
        <is>
          <t>Backlit PVC-zeil 650 g/m², M2/B1 (backlight 3x4 m)</t>
        </is>
      </c>
      <c r="C2" s="7" t="inlineStr">
        <is>
          <t>backlit 650 / Blockout backlit</t>
        </is>
      </c>
      <c r="D2" s="7" t="inlineStr">
        <is>
          <t>rol</t>
        </is>
      </c>
      <c r="E2" s="7" t="inlineStr">
        <is>
          <t>J</t>
        </is>
      </c>
      <c r="F2" s="18" t="n"/>
      <c r="G2" s="19" t="n"/>
      <c r="H2" s="14" t="n"/>
      <c r="I2" s="5">
        <f>IF(AND(G2&gt;0,H2&gt;0),H2/G2,"")</f>
        <v/>
      </c>
      <c r="J2" s="18" t="n"/>
      <c r="K2" s="7" t="n"/>
    </row>
    <row r="3">
      <c r="A3" s="7" t="inlineStr">
        <is>
          <t>M02</t>
        </is>
      </c>
      <c r="B3" s="7" t="inlineStr">
        <is>
          <t>Frontlit PVC-zeil 450 g/m² (kakémono entrées, Warocqué, bas rue Neuve, bannière)</t>
        </is>
      </c>
      <c r="C3" s="7" t="inlineStr">
        <is>
          <t>frontlit 450</t>
        </is>
      </c>
      <c r="D3" s="7" t="inlineStr">
        <is>
          <t>rol</t>
        </is>
      </c>
      <c r="E3" s="7" t="inlineStr">
        <is>
          <t>J</t>
        </is>
      </c>
      <c r="F3" s="18" t="n"/>
      <c r="G3" s="19" t="n"/>
      <c r="H3" s="14" t="n"/>
      <c r="I3" s="5">
        <f>IF(AND(G3&gt;0,H3&gt;0),H3/G3,"")</f>
        <v/>
      </c>
      <c r="J3" s="18" t="n"/>
      <c r="K3" s="7" t="n"/>
    </row>
    <row r="4">
      <c r="A4" s="7" t="inlineStr">
        <is>
          <t>M03</t>
        </is>
      </c>
      <c r="B4" s="7" t="inlineStr">
        <is>
          <t>PVC-zeil 550 g/m² 'pro' (Duesberg, cube VisitMons)</t>
        </is>
      </c>
      <c r="C4" s="7" t="inlineStr">
        <is>
          <t>frontlit 510/550</t>
        </is>
      </c>
      <c r="D4" s="7" t="inlineStr">
        <is>
          <t>rol</t>
        </is>
      </c>
      <c r="E4" s="7" t="inlineStr">
        <is>
          <t>J</t>
        </is>
      </c>
      <c r="F4" s="18" t="n"/>
      <c r="G4" s="19" t="n"/>
      <c r="H4" s="14" t="n"/>
      <c r="I4" s="5">
        <f>IF(AND(G4&gt;0,H4&gt;0),H4/G4,"")</f>
        <v/>
      </c>
      <c r="J4" s="18" t="n"/>
      <c r="K4" s="7" t="n"/>
    </row>
    <row r="5">
      <c r="A5" s="7" t="inlineStr">
        <is>
          <t>M04</t>
        </is>
      </c>
      <c r="B5" s="7" t="inlineStr">
        <is>
          <t>Mesh micro-geperforeerd 450 g/m² (kakémono Imagix)</t>
        </is>
      </c>
      <c r="C5" s="7" t="inlineStr">
        <is>
          <t>mesh 450 / mesh backlit</t>
        </is>
      </c>
      <c r="D5" s="7" t="inlineStr">
        <is>
          <t>rol</t>
        </is>
      </c>
      <c r="E5" s="7" t="inlineStr">
        <is>
          <t>J</t>
        </is>
      </c>
      <c r="F5" s="18" t="n"/>
      <c r="G5" s="19" t="n"/>
      <c r="H5" s="14" t="n"/>
      <c r="I5" s="5">
        <f>IF(AND(G5&gt;0,H5&gt;0),H5/G5,"")</f>
        <v/>
      </c>
      <c r="J5" s="18" t="n"/>
      <c r="K5" s="7" t="n"/>
    </row>
    <row r="6">
      <c r="A6" s="7" t="inlineStr">
        <is>
          <t>M05</t>
        </is>
      </c>
      <c r="B6" s="7" t="inlineStr">
        <is>
          <t>Mesh 350 g/m² (bâche travaux)</t>
        </is>
      </c>
      <c r="C6" s="7" t="inlineStr">
        <is>
          <t>mesh 350</t>
        </is>
      </c>
      <c r="D6" s="7" t="inlineStr">
        <is>
          <t>rol</t>
        </is>
      </c>
      <c r="E6" s="7" t="inlineStr">
        <is>
          <t>J</t>
        </is>
      </c>
      <c r="F6" s="18" t="n"/>
      <c r="G6" s="19" t="n"/>
      <c r="H6" s="14" t="n"/>
      <c r="I6" s="5">
        <f>IF(AND(G6&gt;0,H6&gt;0),H6/G6,"")</f>
        <v/>
      </c>
      <c r="J6" s="18" t="n"/>
      <c r="K6" s="7" t="n"/>
    </row>
    <row r="7">
      <c r="A7" s="7" t="inlineStr">
        <is>
          <t>M06</t>
        </is>
      </c>
      <c r="B7" s="7" t="inlineStr">
        <is>
          <t>Mesh micro-geperforeerd 290 g/m² (Heras, Nadar)</t>
        </is>
      </c>
      <c r="C7" s="7" t="inlineStr">
        <is>
          <t>mesh 270/290</t>
        </is>
      </c>
      <c r="D7" s="7" t="inlineStr">
        <is>
          <t>rol</t>
        </is>
      </c>
      <c r="E7" s="7" t="inlineStr">
        <is>
          <t>J</t>
        </is>
      </c>
      <c r="F7" s="18" t="n"/>
      <c r="G7" s="19" t="n"/>
      <c r="H7" s="14" t="n"/>
      <c r="I7" s="5">
        <f>IF(AND(G7&gt;0,H7&gt;0),H7/G7,"")</f>
        <v/>
      </c>
      <c r="J7" s="18" t="n"/>
      <c r="K7" s="7" t="n"/>
    </row>
    <row r="8">
      <c r="A8" s="7" t="inlineStr">
        <is>
          <t>M07</t>
        </is>
      </c>
      <c r="B8" s="7" t="inlineStr">
        <is>
          <t>PVC-zeil 330 g/m² (bâches cubes)</t>
        </is>
      </c>
      <c r="C8" s="7" t="inlineStr">
        <is>
          <t>frontlit 340 / light</t>
        </is>
      </c>
      <c r="D8" s="7" t="inlineStr">
        <is>
          <t>rol</t>
        </is>
      </c>
      <c r="E8" s="7" t="inlineStr">
        <is>
          <t>J</t>
        </is>
      </c>
      <c r="F8" s="18" t="n"/>
      <c r="G8" s="19" t="n"/>
      <c r="H8" s="14" t="n"/>
      <c r="I8" s="5">
        <f>IF(AND(G8&gt;0,H8&gt;0),H8/G8,"")</f>
        <v/>
      </c>
      <c r="J8" s="18" t="n"/>
      <c r="K8" s="7" t="n"/>
    </row>
    <row r="9">
      <c r="A9" s="7" t="inlineStr">
        <is>
          <t>M10</t>
        </is>
      </c>
      <c r="B9" s="7" t="inlineStr">
        <is>
          <t>Roll-up film (PET/PP greyback, anti-curl)</t>
        </is>
      </c>
      <c r="C9" s="7" t="inlineStr">
        <is>
          <t>roll-up film</t>
        </is>
      </c>
      <c r="D9" s="7" t="inlineStr">
        <is>
          <t>rol</t>
        </is>
      </c>
      <c r="E9" s="7" t="inlineStr">
        <is>
          <t>J</t>
        </is>
      </c>
      <c r="F9" s="18" t="n"/>
      <c r="G9" s="19" t="n"/>
      <c r="H9" s="14" t="n"/>
      <c r="I9" s="5">
        <f>IF(AND(G9&gt;0,H9&gt;0),H9/G9,"")</f>
        <v/>
      </c>
      <c r="J9" s="18" t="n"/>
      <c r="K9" s="7" t="n"/>
    </row>
    <row r="10">
      <c r="A10" s="7" t="inlineStr">
        <is>
          <t>M11</t>
        </is>
      </c>
      <c r="B10" s="7" t="inlineStr">
        <is>
          <t>Roll-up cassette 85 x 200 cm + tas</t>
        </is>
      </c>
      <c r="C10" s="7" t="inlineStr">
        <is>
          <t>roll-up 85</t>
        </is>
      </c>
      <c r="D10" s="7" t="inlineStr">
        <is>
          <t>stuk</t>
        </is>
      </c>
      <c r="E10" s="7" t="inlineStr">
        <is>
          <t>N</t>
        </is>
      </c>
      <c r="F10" s="18" t="n"/>
      <c r="G10" s="19" t="n">
        <v>1</v>
      </c>
      <c r="H10" s="14" t="n"/>
      <c r="I10" s="5">
        <f>IF(AND(G10&gt;0,H10&gt;0),H10/G10,"")</f>
        <v/>
      </c>
      <c r="J10" s="18" t="n"/>
      <c r="K10" s="7" t="n"/>
    </row>
    <row r="11">
      <c r="A11" s="7" t="inlineStr">
        <is>
          <t>M12</t>
        </is>
      </c>
      <c r="B11" s="7" t="inlineStr">
        <is>
          <t>Roll-up cassette 60 x 160 cm + tas</t>
        </is>
      </c>
      <c r="C11" s="7" t="inlineStr">
        <is>
          <t>roll-up 60</t>
        </is>
      </c>
      <c r="D11" s="7" t="inlineStr">
        <is>
          <t>stuk</t>
        </is>
      </c>
      <c r="E11" s="7" t="inlineStr">
        <is>
          <t>N</t>
        </is>
      </c>
      <c r="F11" s="18" t="n"/>
      <c r="G11" s="19" t="n">
        <v>1</v>
      </c>
      <c r="H11" s="14" t="n"/>
      <c r="I11" s="5">
        <f>IF(AND(G11&gt;0,H11&gt;0),H11/G11,"")</f>
        <v/>
      </c>
      <c r="J11" s="18" t="n"/>
      <c r="K11" s="7" t="n"/>
    </row>
    <row r="12">
      <c r="A12" s="7" t="inlineStr">
        <is>
          <t>M13</t>
        </is>
      </c>
      <c r="B12" s="7" t="inlineStr">
        <is>
          <t>Elektrostatische folie (type Yupo Tako / static cling)</t>
        </is>
      </c>
      <c r="C12" s="7" t="inlineStr">
        <is>
          <t>static cling / Yupo Tako</t>
        </is>
      </c>
      <c r="D12" s="7" t="inlineStr">
        <is>
          <t>rol</t>
        </is>
      </c>
      <c r="E12" s="7" t="inlineStr">
        <is>
          <t>J</t>
        </is>
      </c>
      <c r="F12" s="18" t="n"/>
      <c r="G12" s="19" t="n"/>
      <c r="H12" s="14" t="n"/>
      <c r="I12" s="5">
        <f>IF(AND(G12&gt;0,H12&gt;0),H12/G12,"")</f>
        <v/>
      </c>
      <c r="J12" s="18" t="n"/>
      <c r="K12" s="7" t="n"/>
    </row>
    <row r="13">
      <c r="A13" s="7" t="inlineStr">
        <is>
          <t>M14</t>
        </is>
      </c>
      <c r="B13" s="7" t="inlineStr">
        <is>
          <t>Polymeer vinyl transparant glanzend (Prix Mercure, wit onderdruk)</t>
        </is>
      </c>
      <c r="C13" s="7" t="inlineStr">
        <is>
          <t>polymeer transparant glans</t>
        </is>
      </c>
      <c r="D13" s="7" t="inlineStr">
        <is>
          <t>rol</t>
        </is>
      </c>
      <c r="E13" s="7" t="inlineStr">
        <is>
          <t>J</t>
        </is>
      </c>
      <c r="F13" s="18" t="n"/>
      <c r="G13" s="19" t="n"/>
      <c r="H13" s="14" t="n"/>
      <c r="I13" s="5">
        <f>IF(AND(G13&gt;0,H13&gt;0),H13/G13,"")</f>
        <v/>
      </c>
      <c r="J13" s="18" t="n"/>
      <c r="K13" s="7" t="n"/>
    </row>
    <row r="14">
      <c r="A14" s="7" t="inlineStr">
        <is>
          <t>M15</t>
        </is>
      </c>
      <c r="B14" s="7" t="inlineStr">
        <is>
          <t>Monomeer vinyl wit (stickers, vitrine, totem, Lot 2 vinyl binnen)</t>
        </is>
      </c>
      <c r="C14" s="7" t="inlineStr">
        <is>
          <t>monomeer wit glans/mat</t>
        </is>
      </c>
      <c r="D14" s="7" t="inlineStr">
        <is>
          <t>rol</t>
        </is>
      </c>
      <c r="E14" s="7" t="inlineStr">
        <is>
          <t>J</t>
        </is>
      </c>
      <c r="F14" s="18" t="n"/>
      <c r="G14" s="19" t="n"/>
      <c r="H14" s="14" t="n"/>
      <c r="I14" s="5">
        <f>IF(AND(G14&gt;0,H14&gt;0),H14/G14,"")</f>
        <v/>
      </c>
      <c r="J14" s="18" t="n"/>
      <c r="K14" s="7" t="n"/>
    </row>
    <row r="15">
      <c r="A15" s="7" t="inlineStr">
        <is>
          <t>M16</t>
        </is>
      </c>
      <c r="B15" s="7" t="inlineStr">
        <is>
          <t>One-way vision / micro-geperforeerd raamvinyl (voertuig)</t>
        </is>
      </c>
      <c r="C15" s="7" t="inlineStr">
        <is>
          <t>one way vision</t>
        </is>
      </c>
      <c r="D15" s="7" t="inlineStr">
        <is>
          <t>rol</t>
        </is>
      </c>
      <c r="E15" s="7" t="inlineStr">
        <is>
          <t>J</t>
        </is>
      </c>
      <c r="F15" s="18" t="n"/>
      <c r="G15" s="19" t="n"/>
      <c r="H15" s="14" t="n"/>
      <c r="I15" s="5">
        <f>IF(AND(G15&gt;0,H15&gt;0),H15/G15,"")</f>
        <v/>
      </c>
      <c r="J15" s="18" t="n"/>
      <c r="K15" s="7" t="n"/>
    </row>
    <row r="16">
      <c r="A16" s="7" t="inlineStr">
        <is>
          <t>M17</t>
        </is>
      </c>
      <c r="B16" s="7" t="inlineStr">
        <is>
          <t>Cast/polymeer wrapfolie carrosserie (+ evt. laminaat)</t>
        </is>
      </c>
      <c r="C16" s="7" t="inlineStr">
        <is>
          <t>cast wrap / polymeer</t>
        </is>
      </c>
      <c r="D16" s="7" t="inlineStr">
        <is>
          <t>rol</t>
        </is>
      </c>
      <c r="E16" s="7" t="inlineStr">
        <is>
          <t>J</t>
        </is>
      </c>
      <c r="F16" s="18" t="n"/>
      <c r="G16" s="19" t="n"/>
      <c r="H16" s="14" t="n"/>
      <c r="I16" s="5">
        <f>IF(AND(G16&gt;0,H16&gt;0),H16/G16,"")</f>
        <v/>
      </c>
      <c r="J16" s="18" t="n"/>
      <c r="K16" s="7" t="n"/>
    </row>
    <row r="17">
      <c r="A17" s="7" t="inlineStr">
        <is>
          <t>M18</t>
        </is>
      </c>
      <c r="B17" s="7" t="inlineStr">
        <is>
          <t>Polymeer vinyl buiten</t>
        </is>
      </c>
      <c r="C17" s="7" t="inlineStr">
        <is>
          <t>polymeer wit</t>
        </is>
      </c>
      <c r="D17" s="7" t="inlineStr">
        <is>
          <t>rol</t>
        </is>
      </c>
      <c r="E17" s="7" t="inlineStr">
        <is>
          <t>J</t>
        </is>
      </c>
      <c r="F17" s="18" t="n"/>
      <c r="G17" s="19" t="n"/>
      <c r="H17" s="14" t="n"/>
      <c r="I17" s="5">
        <f>IF(AND(G17&gt;0,H17&gt;0),H17/G17,"")</f>
        <v/>
      </c>
      <c r="J17" s="18" t="n"/>
      <c r="K17" s="7" t="n"/>
    </row>
    <row r="18">
      <c r="A18" s="7" t="inlineStr">
        <is>
          <t>M19</t>
        </is>
      </c>
      <c r="B18" s="7" t="inlineStr">
        <is>
          <t>Laminaat monomeer glanzend (totem)</t>
        </is>
      </c>
      <c r="C18" s="7" t="inlineStr">
        <is>
          <t>laminaat monomeer glans</t>
        </is>
      </c>
      <c r="D18" s="7" t="inlineStr">
        <is>
          <t>rol</t>
        </is>
      </c>
      <c r="E18" s="7" t="inlineStr">
        <is>
          <t>N</t>
        </is>
      </c>
      <c r="F18" s="18" t="n"/>
      <c r="G18" s="19" t="n"/>
      <c r="H18" s="14" t="n"/>
      <c r="I18" s="5">
        <f>IF(AND(G18&gt;0,H18&gt;0),H18/G18,"")</f>
        <v/>
      </c>
      <c r="J18" s="18" t="n"/>
      <c r="K18" s="7" t="n"/>
    </row>
    <row r="19">
      <c r="A19" s="7" t="inlineStr">
        <is>
          <t>M20</t>
        </is>
      </c>
      <c r="B19" s="7" t="inlineStr">
        <is>
          <t>Beachflag-textiel polyester knit ±110 g/m²</t>
        </is>
      </c>
      <c r="C19" s="7" t="inlineStr">
        <is>
          <t>flag 110 / vlaggendoek</t>
        </is>
      </c>
      <c r="D19" s="7" t="inlineStr">
        <is>
          <t>rol</t>
        </is>
      </c>
      <c r="E19" s="7" t="inlineStr">
        <is>
          <t>J</t>
        </is>
      </c>
      <c r="F19" s="18" t="n"/>
      <c r="G19" s="19" t="n"/>
      <c r="H19" s="14" t="n"/>
      <c r="I19" s="5">
        <f>IF(AND(G19&gt;0,H19&gt;0),H19/G19,"")</f>
        <v/>
      </c>
      <c r="J19" s="18" t="n"/>
      <c r="K19" s="7" t="n"/>
    </row>
    <row r="20">
      <c r="A20" s="7" t="inlineStr">
        <is>
          <t>M21</t>
        </is>
      </c>
      <c r="B20" s="7" t="inlineStr">
        <is>
          <t>Beachflag-kit: alu mast 350 cm, horizontale arm, kruisvoet, tas</t>
        </is>
      </c>
      <c r="C20" s="7" t="inlineStr">
        <is>
          <t>beachflag kit</t>
        </is>
      </c>
      <c r="D20" s="7" t="inlineStr">
        <is>
          <t>stuk</t>
        </is>
      </c>
      <c r="E20" s="7" t="inlineStr">
        <is>
          <t>N</t>
        </is>
      </c>
      <c r="F20" s="18" t="n"/>
      <c r="G20" s="19" t="n">
        <v>1</v>
      </c>
      <c r="H20" s="14" t="n"/>
      <c r="I20" s="5">
        <f>IF(AND(G20&gt;0,H20&gt;0),H20/G20,"")</f>
        <v/>
      </c>
      <c r="J20" s="18" t="n"/>
      <c r="K20" s="7" t="n"/>
    </row>
    <row r="21">
      <c r="A21" s="7" t="inlineStr">
        <is>
          <t>M22</t>
        </is>
      </c>
      <c r="B21" s="7" t="inlineStr">
        <is>
          <t>Biprint / PP-alveolair 3 mm</t>
        </is>
      </c>
      <c r="C21" s="7" t="inlineStr">
        <is>
          <t>biprint 3 mm</t>
        </is>
      </c>
      <c r="D21" s="7" t="inlineStr">
        <is>
          <t>plaat</t>
        </is>
      </c>
      <c r="E21" s="7" t="inlineStr">
        <is>
          <t>J</t>
        </is>
      </c>
      <c r="F21" s="18" t="n"/>
      <c r="G21" s="19" t="n"/>
      <c r="H21" s="14" t="n"/>
      <c r="I21" s="5">
        <f>IF(AND(G21&gt;0,H21&gt;0),H21/G21,"")</f>
        <v/>
      </c>
      <c r="J21" s="18" t="n"/>
      <c r="K21" s="7" t="n"/>
    </row>
    <row r="22">
      <c r="A22" s="7" t="inlineStr">
        <is>
          <t>M23</t>
        </is>
      </c>
      <c r="B22" s="7" t="inlineStr">
        <is>
          <t>Akylux / PP-alveolair (3,5 mm? bestek: '3,5 cm' – te verifiëren)</t>
        </is>
      </c>
      <c r="C22" s="7" t="inlineStr">
        <is>
          <t>akylux</t>
        </is>
      </c>
      <c r="D22" s="7" t="inlineStr">
        <is>
          <t>plaat</t>
        </is>
      </c>
      <c r="E22" s="7" t="inlineStr">
        <is>
          <t>J</t>
        </is>
      </c>
      <c r="F22" s="18" t="n"/>
      <c r="G22" s="19" t="n"/>
      <c r="H22" s="14" t="n"/>
      <c r="I22" s="5">
        <f>IF(AND(G22&gt;0,H22&gt;0),H22/G22,"")</f>
        <v/>
      </c>
      <c r="J22" s="18" t="n"/>
      <c r="K22" s="7" t="n"/>
    </row>
    <row r="23">
      <c r="A23" s="7" t="inlineStr">
        <is>
          <t>M24</t>
        </is>
      </c>
      <c r="B23" s="7" t="inlineStr">
        <is>
          <t>Balelastiek 5 mm, 15 cm</t>
        </is>
      </c>
      <c r="C23" s="7" t="inlineStr">
        <is>
          <t>balelastiek</t>
        </is>
      </c>
      <c r="D23" s="7" t="inlineStr">
        <is>
          <t>stuk</t>
        </is>
      </c>
      <c r="E23" s="7" t="inlineStr">
        <is>
          <t>N</t>
        </is>
      </c>
      <c r="F23" s="18" t="n"/>
      <c r="G23" s="19" t="n">
        <v>1</v>
      </c>
      <c r="H23" s="14" t="n"/>
      <c r="I23" s="5">
        <f>IF(AND(G23&gt;0,H23&gt;0),H23/G23,"")</f>
        <v/>
      </c>
      <c r="J23" s="18" t="n"/>
      <c r="K23" s="7" t="n"/>
    </row>
    <row r="24">
      <c r="A24" s="7" t="inlineStr">
        <is>
          <t>M25</t>
        </is>
      </c>
      <c r="B24" s="7" t="inlineStr">
        <is>
          <t>Metalen oogjes (per stuk, incl. ring)</t>
        </is>
      </c>
      <c r="C24" s="7" t="inlineStr">
        <is>
          <t>oogjes / zeilringen</t>
        </is>
      </c>
      <c r="D24" s="7" t="inlineStr">
        <is>
          <t>stuk</t>
        </is>
      </c>
      <c r="E24" s="7" t="inlineStr">
        <is>
          <t>N</t>
        </is>
      </c>
      <c r="F24" s="18" t="n"/>
      <c r="G24" s="19" t="n">
        <v>1</v>
      </c>
      <c r="H24" s="14" t="n"/>
      <c r="I24" s="5">
        <f>IF(AND(G24&gt;0,H24&gt;0),H24/G24,"")</f>
        <v/>
      </c>
      <c r="J24" s="18" t="n"/>
      <c r="K24" s="7" t="n"/>
    </row>
    <row r="25">
      <c r="A25" s="7" t="inlineStr">
        <is>
          <t>M26</t>
        </is>
      </c>
      <c r="B25" s="7" t="inlineStr">
        <is>
          <t>Ophangsysteem / klemlijsten op maat (backlight)</t>
        </is>
      </c>
      <c r="C25" s="7" t="inlineStr">
        <is>
          <t>klemprofiel / spieprofiel</t>
        </is>
      </c>
      <c r="D25" s="7" t="inlineStr">
        <is>
          <t>stuk</t>
        </is>
      </c>
      <c r="E25" s="7" t="inlineStr">
        <is>
          <t>N</t>
        </is>
      </c>
      <c r="F25" s="18" t="n"/>
      <c r="G25" s="19" t="n">
        <v>1</v>
      </c>
      <c r="H25" s="14" t="n"/>
      <c r="I25" s="5">
        <f>IF(AND(G25&gt;0,H25&gt;0),H25/G25,"")</f>
        <v/>
      </c>
      <c r="J25" s="18" t="n"/>
      <c r="K25" s="7" t="n"/>
    </row>
    <row r="26">
      <c r="A26" s="7" t="inlineStr">
        <is>
          <t>M30</t>
        </is>
      </c>
      <c r="B26" s="7" t="inlineStr">
        <is>
          <t>Polyester textiel 300 g/m² wit M1, wandkleefbaar</t>
        </is>
      </c>
      <c r="C26" s="7" t="inlineStr">
        <is>
          <t>textiel 300 M1 / wallpaper textile</t>
        </is>
      </c>
      <c r="D26" s="7" t="inlineStr">
        <is>
          <t>rol</t>
        </is>
      </c>
      <c r="E26" s="7" t="inlineStr">
        <is>
          <t>J</t>
        </is>
      </c>
      <c r="F26" s="18" t="n"/>
      <c r="G26" s="19" t="n"/>
      <c r="H26" s="14" t="n"/>
      <c r="I26" s="5">
        <f>IF(AND(G26&gt;0,H26&gt;0),H26/G26,"")</f>
        <v/>
      </c>
      <c r="J26" s="18" t="n"/>
      <c r="K26" s="7" t="n"/>
    </row>
    <row r="27">
      <c r="A27" s="7" t="inlineStr">
        <is>
          <t>M31</t>
        </is>
      </c>
      <c r="B27" s="7" t="inlineStr">
        <is>
          <t>Forex (PVC-hardschuim) 2 mm wit</t>
        </is>
      </c>
      <c r="C27" s="7" t="inlineStr">
        <is>
          <t>forex 2 mm</t>
        </is>
      </c>
      <c r="D27" s="7" t="inlineStr">
        <is>
          <t>plaat</t>
        </is>
      </c>
      <c r="E27" s="7" t="inlineStr">
        <is>
          <t>J</t>
        </is>
      </c>
      <c r="F27" s="18" t="n"/>
      <c r="G27" s="19" t="n"/>
      <c r="H27" s="14" t="n"/>
      <c r="I27" s="5">
        <f>IF(AND(G27&gt;0,H27&gt;0),H27/G27,"")</f>
        <v/>
      </c>
      <c r="J27" s="18" t="n"/>
      <c r="K27" s="7" t="n"/>
    </row>
    <row r="28">
      <c r="A28" s="7" t="inlineStr">
        <is>
          <t>M32</t>
        </is>
      </c>
      <c r="B28" s="7" t="inlineStr">
        <is>
          <t>Forex 3 mm wit</t>
        </is>
      </c>
      <c r="C28" s="7" t="inlineStr">
        <is>
          <t>forex 3 mm</t>
        </is>
      </c>
      <c r="D28" s="7" t="inlineStr">
        <is>
          <t>plaat</t>
        </is>
      </c>
      <c r="E28" s="7" t="inlineStr">
        <is>
          <t>J</t>
        </is>
      </c>
      <c r="F28" s="18" t="n"/>
      <c r="G28" s="19" t="n"/>
      <c r="H28" s="14" t="n"/>
      <c r="I28" s="5">
        <f>IF(AND(G28&gt;0,H28&gt;0),H28/G28,"")</f>
        <v/>
      </c>
      <c r="J28" s="18" t="n"/>
      <c r="K28" s="7" t="n"/>
    </row>
    <row r="29">
      <c r="A29" s="7" t="inlineStr">
        <is>
          <t>M33</t>
        </is>
      </c>
      <c r="B29" s="7" t="inlineStr">
        <is>
          <t>Forex 5 mm wit</t>
        </is>
      </c>
      <c r="C29" s="7" t="inlineStr">
        <is>
          <t>forex 5 mm</t>
        </is>
      </c>
      <c r="D29" s="7" t="inlineStr">
        <is>
          <t>plaat</t>
        </is>
      </c>
      <c r="E29" s="7" t="inlineStr">
        <is>
          <t>J</t>
        </is>
      </c>
      <c r="F29" s="18" t="n"/>
      <c r="G29" s="19" t="n"/>
      <c r="H29" s="14" t="n"/>
      <c r="I29" s="5">
        <f>IF(AND(G29&gt;0,H29&gt;0),H29/G29,"")</f>
        <v/>
      </c>
      <c r="J29" s="18" t="n"/>
      <c r="K29" s="7" t="n"/>
    </row>
    <row r="30">
      <c r="A30" s="7" t="inlineStr">
        <is>
          <t>M34</t>
        </is>
      </c>
      <c r="B30" s="7" t="inlineStr">
        <is>
          <t>Plexi (PMMA) opaal mat 2 mm</t>
        </is>
      </c>
      <c r="C30" s="7" t="inlineStr">
        <is>
          <t>plexi opaal 2 mm</t>
        </is>
      </c>
      <c r="D30" s="7" t="inlineStr">
        <is>
          <t>plaat</t>
        </is>
      </c>
      <c r="E30" s="7" t="inlineStr">
        <is>
          <t>J</t>
        </is>
      </c>
      <c r="F30" s="18" t="n"/>
      <c r="G30" s="19" t="n"/>
      <c r="H30" s="14" t="n"/>
      <c r="I30" s="5">
        <f>IF(AND(G30&gt;0,H30&gt;0),H30/G30,"")</f>
        <v/>
      </c>
      <c r="J30" s="18" t="n"/>
      <c r="K30" s="7" t="n"/>
    </row>
    <row r="31">
      <c r="A31" s="7" t="inlineStr">
        <is>
          <t>M35</t>
        </is>
      </c>
      <c r="B31" s="7" t="inlineStr">
        <is>
          <t>Plexi (PMMA) opaal mat 3 mm</t>
        </is>
      </c>
      <c r="C31" s="7" t="inlineStr">
        <is>
          <t>plexi opaal 3 mm</t>
        </is>
      </c>
      <c r="D31" s="7" t="inlineStr">
        <is>
          <t>plaat</t>
        </is>
      </c>
      <c r="E31" s="7" t="inlineStr">
        <is>
          <t>J</t>
        </is>
      </c>
      <c r="F31" s="18" t="n"/>
      <c r="G31" s="19" t="n"/>
      <c r="H31" s="14" t="n"/>
      <c r="I31" s="5">
        <f>IF(AND(G31&gt;0,H31&gt;0),H31/G31,"")</f>
        <v/>
      </c>
      <c r="J31" s="18" t="n"/>
      <c r="K31" s="7" t="n"/>
    </row>
    <row r="32">
      <c r="A32" s="7" t="inlineStr">
        <is>
          <t>M36</t>
        </is>
      </c>
      <c r="B32" s="7" t="inlineStr">
        <is>
          <t>Karton 2 mm (bedrukbaar)</t>
        </is>
      </c>
      <c r="C32" s="7" t="inlineStr">
        <is>
          <t>karton 2 mm / honingraat / reboard</t>
        </is>
      </c>
      <c r="D32" s="7" t="inlineStr">
        <is>
          <t>plaat</t>
        </is>
      </c>
      <c r="E32" s="7" t="inlineStr">
        <is>
          <t>J</t>
        </is>
      </c>
      <c r="F32" s="18" t="n"/>
      <c r="G32" s="19" t="n"/>
      <c r="H32" s="14" t="n"/>
      <c r="I32" s="5">
        <f>IF(AND(G32&gt;0,H32&gt;0),H32/G32,"")</f>
        <v/>
      </c>
      <c r="J32" s="18" t="n"/>
      <c r="K32" s="7" t="n"/>
    </row>
    <row r="33">
      <c r="A33" s="7" t="inlineStr">
        <is>
          <t>M37</t>
        </is>
      </c>
      <c r="B33" s="7" t="inlineStr">
        <is>
          <t>Karton 1 mm (bedrukbaar)</t>
        </is>
      </c>
      <c r="C33" s="7" t="inlineStr">
        <is>
          <t>karton 1 mm</t>
        </is>
      </c>
      <c r="D33" s="7" t="inlineStr">
        <is>
          <t>plaat</t>
        </is>
      </c>
      <c r="E33" s="7" t="inlineStr">
        <is>
          <t>J</t>
        </is>
      </c>
      <c r="F33" s="18" t="n"/>
      <c r="G33" s="19" t="n"/>
      <c r="H33" s="14" t="n"/>
      <c r="I33" s="5">
        <f>IF(AND(G33&gt;0,H33&gt;0),H33/G33,"")</f>
        <v/>
      </c>
      <c r="J33" s="18" t="n"/>
      <c r="K33" s="7" t="n"/>
    </row>
    <row r="34">
      <c r="A34" s="7" t="inlineStr">
        <is>
          <t>M39</t>
        </is>
      </c>
      <c r="B34" s="7" t="inlineStr">
        <is>
          <t>Dibond / alu-composiet 2 mm wit</t>
        </is>
      </c>
      <c r="C34" s="7" t="inlineStr">
        <is>
          <t>dibond 2 mm</t>
        </is>
      </c>
      <c r="D34" s="7" t="inlineStr">
        <is>
          <t>plaat</t>
        </is>
      </c>
      <c r="E34" s="7" t="inlineStr">
        <is>
          <t>J</t>
        </is>
      </c>
      <c r="F34" s="18" t="n"/>
      <c r="G34" s="19" t="n"/>
      <c r="H34" s="14" t="n"/>
      <c r="I34" s="5">
        <f>IF(AND(G34&gt;0,H34&gt;0),H34/G34,"")</f>
        <v/>
      </c>
      <c r="J34" s="18" t="n"/>
      <c r="K34" s="7" t="n"/>
    </row>
    <row r="35">
      <c r="A35" s="7" t="inlineStr">
        <is>
          <t>M40</t>
        </is>
      </c>
      <c r="B35" s="7" t="inlineStr">
        <is>
          <t>Dibond / alu-composiet 3 mm wit</t>
        </is>
      </c>
      <c r="C35" s="7" t="inlineStr">
        <is>
          <t>dibond 3 mm</t>
        </is>
      </c>
      <c r="D35" s="7" t="inlineStr">
        <is>
          <t>plaat</t>
        </is>
      </c>
      <c r="E35" s="7" t="inlineStr">
        <is>
          <t>J</t>
        </is>
      </c>
      <c r="F35" s="18" t="n"/>
      <c r="G35" s="19" t="n"/>
      <c r="H35" s="14" t="n"/>
      <c r="I35" s="5">
        <f>IF(AND(G35&gt;0,H35&gt;0),H35/G35,"")</f>
        <v/>
      </c>
      <c r="J35" s="18" t="n"/>
      <c r="K35" s="7" t="n"/>
    </row>
    <row r="36">
      <c r="A36" s="7" t="inlineStr">
        <is>
          <t>M41</t>
        </is>
      </c>
      <c r="B36" s="7" t="inlineStr">
        <is>
          <t>Snijvinyl gekleurd/zwart (type Oracal 641/651)</t>
        </is>
      </c>
      <c r="C36" s="7" t="inlineStr">
        <is>
          <t>snijfolie / plotterfolie</t>
        </is>
      </c>
      <c r="D36" s="7" t="inlineStr">
        <is>
          <t>rol</t>
        </is>
      </c>
      <c r="E36" s="7" t="inlineStr">
        <is>
          <t>N</t>
        </is>
      </c>
      <c r="F36" s="18" t="n"/>
      <c r="G36" s="19" t="n"/>
      <c r="H36" s="14" t="n"/>
      <c r="I36" s="5">
        <f>IF(AND(G36&gt;0,H36&gt;0),H36/G36,"")</f>
        <v/>
      </c>
      <c r="J36" s="18" t="n"/>
      <c r="K36" s="7" t="n"/>
    </row>
    <row r="37">
      <c r="A37" s="7" t="inlineStr">
        <is>
          <t>M42</t>
        </is>
      </c>
      <c r="B37" s="7" t="inlineStr">
        <is>
          <t>Applicatietape (transfer)</t>
        </is>
      </c>
      <c r="C37" s="7" t="inlineStr">
        <is>
          <t>applicatietape</t>
        </is>
      </c>
      <c r="D37" s="7" t="inlineStr">
        <is>
          <t>rol</t>
        </is>
      </c>
      <c r="E37" s="7" t="inlineStr">
        <is>
          <t>N</t>
        </is>
      </c>
      <c r="F37" s="18" t="n"/>
      <c r="G37" s="19" t="n"/>
      <c r="H37" s="14" t="n"/>
      <c r="I37" s="5">
        <f>IF(AND(G37&gt;0,H37&gt;0),H37/G37,"")</f>
        <v/>
      </c>
      <c r="J37" s="18" t="n"/>
      <c r="K37" s="7" t="n"/>
    </row>
    <row r="38">
      <c r="A38" s="7" t="inlineStr">
        <is>
          <t>M43</t>
        </is>
      </c>
      <c r="B38" s="7" t="inlineStr">
        <is>
          <t>Dubbelzijdige tape wandmontage (per lopende meter)</t>
        </is>
      </c>
      <c r="C38" s="7" t="inlineStr">
        <is>
          <t>dubbelzijdig montagetape</t>
        </is>
      </c>
      <c r="D38" s="7" t="inlineStr">
        <is>
          <t>stuk</t>
        </is>
      </c>
      <c r="E38" s="7" t="inlineStr">
        <is>
          <t>N</t>
        </is>
      </c>
      <c r="F38" s="18" t="n"/>
      <c r="G38" s="19" t="n">
        <v>1</v>
      </c>
      <c r="H38" s="14" t="n"/>
      <c r="I38" s="5">
        <f>IF(AND(G38&gt;0,H38&gt;0),H38/G38,"")</f>
        <v/>
      </c>
      <c r="J38" s="18" t="n"/>
      <c r="K38" s="7" t="n"/>
    </row>
    <row r="39">
      <c r="A39" s="7" t="inlineStr">
        <is>
          <t>M44</t>
        </is>
      </c>
      <c r="B39" s="7" t="inlineStr">
        <is>
          <t>Metalen U-profiel / ophanglat (per stuk)</t>
        </is>
      </c>
      <c r="C39" s="7" t="inlineStr">
        <is>
          <t>U-profiel / ophangprofiel</t>
        </is>
      </c>
      <c r="D39" s="7" t="inlineStr">
        <is>
          <t>stuk</t>
        </is>
      </c>
      <c r="E39" s="7" t="inlineStr">
        <is>
          <t>N</t>
        </is>
      </c>
      <c r="F39" s="18" t="n"/>
      <c r="G39" s="19" t="n">
        <v>1</v>
      </c>
      <c r="H39" s="14" t="n"/>
      <c r="I39" s="5">
        <f>IF(AND(G39&gt;0,H39&gt;0),H39/G39,"")</f>
        <v/>
      </c>
      <c r="J39" s="18" t="n"/>
      <c r="K39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10" customWidth="1" min="4" max="4"/>
    <col width="6" customWidth="1" min="5" max="5"/>
    <col width="11" customWidth="1" min="6" max="6"/>
    <col width="7" customWidth="1" min="7" max="7"/>
    <col width="8" customWidth="1" min="8" max="8"/>
    <col width="7" customWidth="1" min="9" max="9"/>
    <col width="8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11" customWidth="1" min="16" max="16"/>
    <col width="10" customWidth="1" min="17" max="17"/>
    <col width="8" customWidth="1" min="18" max="18"/>
    <col width="10" customWidth="1" min="19" max="19"/>
    <col width="12" customWidth="1" min="20" max="20"/>
    <col width="11" customWidth="1" min="21" max="21"/>
    <col width="11" customWidth="1" min="22" max="22"/>
    <col width="8" customWidth="1" min="23" max="23"/>
    <col width="10" customWidth="1" min="24" max="24"/>
    <col width="10" customWidth="1" min="25" max="25"/>
    <col width="12" customWidth="1" min="26" max="26"/>
    <col width="12" customWidth="1" min="27" max="27"/>
    <col width="12" customWidth="1" min="28" max="28"/>
    <col width="22" customWidth="1" min="29" max="29"/>
    <col width="40" customWidth="1" min="30" max="30"/>
  </cols>
  <sheetData>
    <row r="1" ht="58" customHeight="1">
      <c r="A1" s="17" t="inlineStr">
        <is>
          <t>N°</t>
        </is>
      </c>
      <c r="B1" s="17" t="inlineStr">
        <is>
          <t>Rubriek</t>
        </is>
      </c>
      <c r="C1" s="17" t="inlineStr">
        <is>
          <t>Omschrijving</t>
        </is>
      </c>
      <c r="D1" s="17" t="inlineStr">
        <is>
          <t>Eenheid</t>
        </is>
      </c>
      <c r="E1" s="17" t="inlineStr">
        <is>
          <t>Q</t>
        </is>
      </c>
      <c r="F1" s="17" t="inlineStr">
        <is>
          <t>Verkoop PU excl. btw</t>
        </is>
      </c>
      <c r="G1" s="17" t="inlineStr">
        <is>
          <t>Materiaal 1</t>
        </is>
      </c>
      <c r="H1" s="17" t="inlineStr">
        <is>
          <t>m² mat. 1 / eenheid</t>
        </is>
      </c>
      <c r="I1" s="17" t="inlineStr">
        <is>
          <t>Materiaal 2</t>
        </is>
      </c>
      <c r="J1" s="17" t="inlineStr">
        <is>
          <t>m² mat. 2 / eenheid</t>
        </is>
      </c>
      <c r="K1" s="17" t="inlineStr">
        <is>
          <t>Acc. 1</t>
        </is>
      </c>
      <c r="L1" s="17" t="inlineStr">
        <is>
          <t>Aantal acc. 1</t>
        </is>
      </c>
      <c r="M1" s="17" t="inlineStr">
        <is>
          <t>Acc. 2</t>
        </is>
      </c>
      <c r="N1" s="17" t="inlineStr">
        <is>
          <t>Aantal acc. 2</t>
        </is>
      </c>
      <c r="O1" s="17" t="inlineStr">
        <is>
          <t>Afval %</t>
        </is>
      </c>
      <c r="P1" s="17" t="inlineStr">
        <is>
          <t>Materiaalkost / eenheid</t>
        </is>
      </c>
      <c r="Q1" s="17" t="inlineStr">
        <is>
          <t>Inktkost / eenheid</t>
        </is>
      </c>
      <c r="R1" s="17" t="inlineStr">
        <is>
          <t>Arbeid min / eenheid</t>
        </is>
      </c>
      <c r="S1" s="17" t="inlineStr">
        <is>
          <t>Arbeid € / eenheid</t>
        </is>
      </c>
      <c r="T1" s="17" t="inlineStr">
        <is>
          <t>Overige kost / eenheid (huur, transport)</t>
        </is>
      </c>
      <c r="U1" s="17" t="inlineStr">
        <is>
          <t>Kostprijs / eenheid</t>
        </is>
      </c>
      <c r="V1" s="17" t="inlineStr">
        <is>
          <t>Marge € / eenheid</t>
        </is>
      </c>
      <c r="W1" s="17" t="inlineStr">
        <is>
          <t>Marge %</t>
        </is>
      </c>
      <c r="X1" s="17" t="inlineStr">
        <is>
          <t>Verkoop / m²</t>
        </is>
      </c>
      <c r="Y1" s="17" t="inlineStr">
        <is>
          <t>Aankoop mat. / m²</t>
        </is>
      </c>
      <c r="Z1" s="17" t="inlineStr">
        <is>
          <t>Totaal verkoop</t>
        </is>
      </c>
      <c r="AA1" s="17" t="inlineStr">
        <is>
          <t>Totaal kost</t>
        </is>
      </c>
      <c r="AB1" s="17" t="inlineStr">
        <is>
          <t>Totaal marge</t>
        </is>
      </c>
      <c r="AC1" s="17" t="inlineStr">
        <is>
          <t>Controle</t>
        </is>
      </c>
      <c r="AD1" s="17" t="inlineStr">
        <is>
          <t>Opmerking</t>
        </is>
      </c>
    </row>
    <row r="2">
      <c r="A2" s="7" t="n">
        <v>1</v>
      </c>
      <c r="B2" s="7" t="inlineStr">
        <is>
          <t>BÂCHE BACKLIGHT</t>
        </is>
      </c>
      <c r="C2" s="7" t="inlineStr">
        <is>
          <t>Format 3x4m (format utile 280x380cm) - Bâche rétroéclairée M2 de 650gr - Quadrichromie - attaches par réglette sur mesure</t>
        </is>
      </c>
      <c r="D2" s="7" t="inlineStr">
        <is>
          <t>pièce</t>
        </is>
      </c>
      <c r="E2" s="7" t="n">
        <v>20</v>
      </c>
      <c r="F2" s="5" t="n">
        <v>225</v>
      </c>
      <c r="G2" s="7" t="inlineStr">
        <is>
          <t>M01</t>
        </is>
      </c>
      <c r="H2" s="20" t="n">
        <v>12</v>
      </c>
      <c r="I2" s="7" t="n"/>
      <c r="J2" s="20" t="n"/>
      <c r="K2" s="7" t="inlineStr">
        <is>
          <t>M26</t>
        </is>
      </c>
      <c r="L2" s="7" t="n">
        <v>1</v>
      </c>
      <c r="M2" s="7" t="n"/>
      <c r="N2" s="7" t="n"/>
      <c r="O2" s="6">
        <f>IF(G2="","",IF(IFERROR(VLOOKUP(G2,Materialen!$A$2:$I$39,4,0),"")="plaat",Instellingen!$B$4,Instellingen!$B$3))</f>
        <v/>
      </c>
      <c r="P2" s="5">
        <f>ROUND(N(H2)*IFERROR(IF(VLOOKUP(G2,Materialen!$A$2:$I$39,9,0)="",0,VLOOKUP(G2,Materialen!$A$2:$I$39,9,0)),0)*(1+N(O2))+N(J2)*IFERROR(IF(VLOOKUP(I2,Materialen!$A$2:$I$39,9,0)="",0,VLOOKUP(I2,Materialen!$A$2:$I$39,9,0)),0)*(1+N(O2))+N(L2)*IFERROR(IF(VLOOKUP(K2,Materialen!$A$2:$I$39,9,0)="",0,VLOOKUP(K2,Materialen!$A$2:$I$39,9,0)),0)+N(N2)*IFERROR(IF(VLOOKUP(M2,Materialen!$A$2:$I$39,9,0)="",0,VLOOKUP(M2,Materialen!$A$2:$I$39,9,0)),0),2)</f>
        <v/>
      </c>
      <c r="Q2" s="5">
        <f>IF(G2="",0,IF(IFERROR(VLOOKUP(G2,Materialen!$A$2:$I$39,5,0),"N")="J",ROUND(N(H2)*(1+N(O2))*Instellingen!$B$8,2),0))</f>
        <v/>
      </c>
      <c r="R2" s="18" t="n"/>
      <c r="S2" s="5">
        <f>ROUND(N(R2)/60*Instellingen!$B$9,2)</f>
        <v/>
      </c>
      <c r="T2" s="14" t="n"/>
      <c r="U2" s="5">
        <f>P2+Q2+S2+N(T2)</f>
        <v/>
      </c>
      <c r="V2" s="5">
        <f>IF(AC2&lt;&gt;"OK","",F2-U2)</f>
        <v/>
      </c>
      <c r="W2" s="6">
        <f>IF(OR(F2=0,AC2&lt;&gt;"OK"),"",V2/F2)</f>
        <v/>
      </c>
      <c r="X2" s="5">
        <f>IF(N(H2)&gt;0,F2/H2,"")</f>
        <v/>
      </c>
      <c r="Y2" s="5">
        <f>IF(N(H2)&gt;0,IFERROR(IF(VLOOKUP(G2,Materialen!$A$2:$I$39,9,0)="",0,VLOOKUP(G2,Materialen!$A$2:$I$39,9,0)),0),"")</f>
        <v/>
      </c>
      <c r="Z2" s="5">
        <f>ROUND(E2*F2,2)</f>
        <v/>
      </c>
      <c r="AA2" s="5">
        <f>IF(AC2&lt;&gt;"OK","",ROUND(E2*U2,2))</f>
        <v/>
      </c>
      <c r="AB2" s="5">
        <f>IF(AC2&lt;&gt;"OK","",Z2-AA2)</f>
        <v/>
      </c>
      <c r="AC2" s="7">
        <f>IF((IF(G2="",0,IF(IFERROR(IF(VLOOKUP(G2,Materialen!$A$2:$I$39,9,0)="",0,VLOOKUP(G2,Materialen!$A$2:$I$39,9,0)),0)=0,1,0))+IF(I2="",0,IF(IFERROR(IF(VLOOKUP(I2,Materialen!$A$2:$I$39,9,0)="",0,VLOOKUP(I2,Materialen!$A$2:$I$39,9,0)),0)=0,1,0))+IF(K2="",0,IF(IFERROR(IF(VLOOKUP(K2,Materialen!$A$2:$I$39,9,0)="",0,VLOOKUP(K2,Materialen!$A$2:$I$39,9,0)),0)=0,1,0))+IF(M2="",0,IF(IFERROR(IF(VLOOKUP(M2,Materialen!$A$2:$I$39,9,0)="",0,VLOOKUP(M2,Materialen!$A$2:$I$39,9,0)),0)=0,1,0)))&gt;0,"aankoopprijs ontbreekt",IF(AND(G2="",K2="",N(T2)=0,N(R2)=0),"kost invullen (arbeid/overig)","OK"))</f>
        <v/>
      </c>
      <c r="AD2" s="7" t="inlineStr">
        <is>
          <t>Drukformaat 3x4 m</t>
        </is>
      </c>
    </row>
    <row r="3">
      <c r="A3" s="7" t="n">
        <v>2</v>
      </c>
      <c r="B3" s="7" t="inlineStr">
        <is>
          <t>BÂCHE BACKLIGHT</t>
        </is>
      </c>
      <c r="C3" s="7" t="inlineStr">
        <is>
          <t>Placement de la bâche sur place (8, rue neuve) à l'aide d'un élévateur (8, rue neuve)</t>
        </is>
      </c>
      <c r="D3" s="7" t="inlineStr">
        <is>
          <t>placement</t>
        </is>
      </c>
      <c r="E3" s="7" t="n">
        <v>20</v>
      </c>
      <c r="F3" s="5" t="n">
        <v>165</v>
      </c>
      <c r="G3" s="7" t="n"/>
      <c r="H3" s="20" t="n"/>
      <c r="I3" s="7" t="n"/>
      <c r="J3" s="20" t="n"/>
      <c r="K3" s="7" t="n"/>
      <c r="L3" s="7" t="n"/>
      <c r="M3" s="7" t="n"/>
      <c r="N3" s="7" t="n"/>
      <c r="O3" s="6">
        <f>IF(G3="","",IF(IFERROR(VLOOKUP(G3,Materialen!$A$2:$I$39,4,0),"")="plaat",Instellingen!$B$4,Instellingen!$B$3))</f>
        <v/>
      </c>
      <c r="P3" s="5">
        <f>ROUND(N(H3)*IFERROR(IF(VLOOKUP(G3,Materialen!$A$2:$I$39,9,0)="",0,VLOOKUP(G3,Materialen!$A$2:$I$39,9,0)),0)*(1+N(O3))+N(J3)*IFERROR(IF(VLOOKUP(I3,Materialen!$A$2:$I$39,9,0)="",0,VLOOKUP(I3,Materialen!$A$2:$I$39,9,0)),0)*(1+N(O3))+N(L3)*IFERROR(IF(VLOOKUP(K3,Materialen!$A$2:$I$39,9,0)="",0,VLOOKUP(K3,Materialen!$A$2:$I$39,9,0)),0)+N(N3)*IFERROR(IF(VLOOKUP(M3,Materialen!$A$2:$I$39,9,0)="",0,VLOOKUP(M3,Materialen!$A$2:$I$39,9,0)),0),2)</f>
        <v/>
      </c>
      <c r="Q3" s="5">
        <f>IF(G3="",0,IF(IFERROR(VLOOKUP(G3,Materialen!$A$2:$I$39,5,0),"N")="J",ROUND(N(H3)*(1+N(O3))*Instellingen!$B$8,2),0))</f>
        <v/>
      </c>
      <c r="R3" s="18" t="n"/>
      <c r="S3" s="5">
        <f>ROUND(N(R3)/60*Instellingen!$B$9,2)</f>
        <v/>
      </c>
      <c r="T3" s="14" t="n"/>
      <c r="U3" s="5">
        <f>P3+Q3+S3+N(T3)</f>
        <v/>
      </c>
      <c r="V3" s="5">
        <f>IF(AC3&lt;&gt;"OK","",F3-U3)</f>
        <v/>
      </c>
      <c r="W3" s="6">
        <f>IF(OR(F3=0,AC3&lt;&gt;"OK"),"",V3/F3)</f>
        <v/>
      </c>
      <c r="X3" s="5">
        <f>IF(N(H3)&gt;0,F3/H3,"")</f>
        <v/>
      </c>
      <c r="Y3" s="5">
        <f>IF(N(H3)&gt;0,IFERROR(IF(VLOOKUP(G3,Materialen!$A$2:$I$39,9,0)="",0,VLOOKUP(G3,Materialen!$A$2:$I$39,9,0)),0),"")</f>
        <v/>
      </c>
      <c r="Z3" s="5">
        <f>ROUND(E3*F3,2)</f>
        <v/>
      </c>
      <c r="AA3" s="5">
        <f>IF(AC3&lt;&gt;"OK","",ROUND(E3*U3,2))</f>
        <v/>
      </c>
      <c r="AB3" s="5">
        <f>IF(AC3&lt;&gt;"OK","",Z3-AA3)</f>
        <v/>
      </c>
      <c r="AC3" s="7">
        <f>IF((IF(G3="",0,IF(IFERROR(IF(VLOOKUP(G3,Materialen!$A$2:$I$39,9,0)="",0,VLOOKUP(G3,Materialen!$A$2:$I$39,9,0)),0)=0,1,0))+IF(I3="",0,IF(IFERROR(IF(VLOOKUP(I3,Materialen!$A$2:$I$39,9,0)="",0,VLOOKUP(I3,Materialen!$A$2:$I$39,9,0)),0)=0,1,0))+IF(K3="",0,IF(IFERROR(IF(VLOOKUP(K3,Materialen!$A$2:$I$39,9,0)="",0,VLOOKUP(K3,Materialen!$A$2:$I$39,9,0)),0)=0,1,0))+IF(M3="",0,IF(IFERROR(IF(VLOOKUP(M3,Materialen!$A$2:$I$39,9,0)="",0,VLOOKUP(M3,Materialen!$A$2:$I$39,9,0)),0)=0,1,0)))&gt;0,"aankoopprijs ontbreekt",IF(AND(G3="",K3="",N(T3)=0,N(R3)=0),"kost invullen (arbeid/overig)","OK"))</f>
        <v/>
      </c>
      <c r="AD3" s="7" t="inlineStr">
        <is>
          <t>Hoogwerker + plaatsing → kolom 'overige kost' en arbeid</t>
        </is>
      </c>
    </row>
    <row r="4">
      <c r="A4" s="7" t="n">
        <v>3</v>
      </c>
      <c r="B4" s="7" t="inlineStr">
        <is>
          <t>KAKEMONOS</t>
        </is>
      </c>
      <c r="C4" s="7" t="inlineStr">
        <is>
          <t>Musée Duesberg : H 251 cm x 79 cm - impression quadri recto / verso - ourlet supérieur et inférieur</t>
        </is>
      </c>
      <c r="D4" s="7" t="inlineStr">
        <is>
          <t>pièce</t>
        </is>
      </c>
      <c r="E4" s="7" t="n">
        <v>10</v>
      </c>
      <c r="F4" s="5" t="n">
        <v>48</v>
      </c>
      <c r="G4" s="7" t="inlineStr">
        <is>
          <t>M03</t>
        </is>
      </c>
      <c r="H4" s="20" t="n">
        <v>1.9829</v>
      </c>
      <c r="I4" s="7" t="n"/>
      <c r="J4" s="20" t="n"/>
      <c r="K4" s="7" t="n"/>
      <c r="L4" s="7" t="n"/>
      <c r="M4" s="7" t="n"/>
      <c r="N4" s="7" t="n"/>
      <c r="O4" s="6">
        <f>IF(G4="","",IF(IFERROR(VLOOKUP(G4,Materialen!$A$2:$I$39,4,0),"")="plaat",Instellingen!$B$4,Instellingen!$B$3))</f>
        <v/>
      </c>
      <c r="P4" s="5">
        <f>ROUND(N(H4)*IFERROR(IF(VLOOKUP(G4,Materialen!$A$2:$I$39,9,0)="",0,VLOOKUP(G4,Materialen!$A$2:$I$39,9,0)),0)*(1+N(O4))+N(J4)*IFERROR(IF(VLOOKUP(I4,Materialen!$A$2:$I$39,9,0)="",0,VLOOKUP(I4,Materialen!$A$2:$I$39,9,0)),0)*(1+N(O4))+N(L4)*IFERROR(IF(VLOOKUP(K4,Materialen!$A$2:$I$39,9,0)="",0,VLOOKUP(K4,Materialen!$A$2:$I$39,9,0)),0)+N(N4)*IFERROR(IF(VLOOKUP(M4,Materialen!$A$2:$I$39,9,0)="",0,VLOOKUP(M4,Materialen!$A$2:$I$39,9,0)),0),2)</f>
        <v/>
      </c>
      <c r="Q4" s="5">
        <f>IF(G4="",0,IF(IFERROR(VLOOKUP(G4,Materialen!$A$2:$I$39,5,0),"N")="J",ROUND(N(H4)*(1+N(O4))*Instellingen!$B$8,2),0))</f>
        <v/>
      </c>
      <c r="R4" s="18" t="n"/>
      <c r="S4" s="5">
        <f>ROUND(N(R4)/60*Instellingen!$B$9,2)</f>
        <v/>
      </c>
      <c r="T4" s="14" t="n"/>
      <c r="U4" s="5">
        <f>P4+Q4+S4+N(T4)</f>
        <v/>
      </c>
      <c r="V4" s="5">
        <f>IF(AC4&lt;&gt;"OK","",F4-U4)</f>
        <v/>
      </c>
      <c r="W4" s="6">
        <f>IF(OR(F4=0,AC4&lt;&gt;"OK"),"",V4/F4)</f>
        <v/>
      </c>
      <c r="X4" s="5">
        <f>IF(N(H4)&gt;0,F4/H4,"")</f>
        <v/>
      </c>
      <c r="Y4" s="5">
        <f>IF(N(H4)&gt;0,IFERROR(IF(VLOOKUP(G4,Materialen!$A$2:$I$39,9,0)="",0,VLOOKUP(G4,Materialen!$A$2:$I$39,9,0)),0),"")</f>
        <v/>
      </c>
      <c r="Z4" s="5">
        <f>ROUND(E4*F4,2)</f>
        <v/>
      </c>
      <c r="AA4" s="5">
        <f>IF(AC4&lt;&gt;"OK","",ROUND(E4*U4,2))</f>
        <v/>
      </c>
      <c r="AB4" s="5">
        <f>IF(AC4&lt;&gt;"OK","",Z4-AA4)</f>
        <v/>
      </c>
      <c r="AC4" s="7">
        <f>IF((IF(G4="",0,IF(IFERROR(IF(VLOOKUP(G4,Materialen!$A$2:$I$39,9,0)="",0,VLOOKUP(G4,Materialen!$A$2:$I$39,9,0)),0)=0,1,0))+IF(I4="",0,IF(IFERROR(IF(VLOOKUP(I4,Materialen!$A$2:$I$39,9,0)="",0,VLOOKUP(I4,Materialen!$A$2:$I$39,9,0)),0)=0,1,0))+IF(K4="",0,IF(IFERROR(IF(VLOOKUP(K4,Materialen!$A$2:$I$39,9,0)="",0,VLOOKUP(K4,Materialen!$A$2:$I$39,9,0)),0)=0,1,0))+IF(M4="",0,IF(IFERROR(IF(VLOOKUP(M4,Materialen!$A$2:$I$39,9,0)="",0,VLOOKUP(M4,Materialen!$A$2:$I$39,9,0)),0)=0,1,0)))&gt;0,"aankoopprijs ontbreekt",IF(AND(G4="",K4="",N(T4)=0,N(R4)=0),"kost invullen (arbeid/overig)","OK"))</f>
        <v/>
      </c>
      <c r="AD4" s="7" t="inlineStr"/>
    </row>
    <row r="5">
      <c r="A5" s="7" t="n">
        <v>4</v>
      </c>
      <c r="B5" s="7" t="inlineStr">
        <is>
          <t>KAKEMONOS</t>
        </is>
      </c>
      <c r="C5" s="7" t="inlineStr">
        <is>
          <t>Entrées de ville : Format L100 x H300 cm - bâche sur Frontlit 450 gr quadri recto UV, avec gaines cousues haut et bas de 8 cm à plat</t>
        </is>
      </c>
      <c r="D5" s="7" t="inlineStr">
        <is>
          <t>pièce</t>
        </is>
      </c>
      <c r="E5" s="7" t="n">
        <v>130</v>
      </c>
      <c r="F5" s="5" t="n">
        <v>49</v>
      </c>
      <c r="G5" s="7" t="inlineStr">
        <is>
          <t>M02</t>
        </is>
      </c>
      <c r="H5" s="20" t="n">
        <v>3</v>
      </c>
      <c r="I5" s="7" t="n"/>
      <c r="J5" s="20" t="n"/>
      <c r="K5" s="7" t="n"/>
      <c r="L5" s="7" t="n"/>
      <c r="M5" s="7" t="n"/>
      <c r="N5" s="7" t="n"/>
      <c r="O5" s="6">
        <f>IF(G5="","",IF(IFERROR(VLOOKUP(G5,Materialen!$A$2:$I$39,4,0),"")="plaat",Instellingen!$B$4,Instellingen!$B$3))</f>
        <v/>
      </c>
      <c r="P5" s="5">
        <f>ROUND(N(H5)*IFERROR(IF(VLOOKUP(G5,Materialen!$A$2:$I$39,9,0)="",0,VLOOKUP(G5,Materialen!$A$2:$I$39,9,0)),0)*(1+N(O5))+N(J5)*IFERROR(IF(VLOOKUP(I5,Materialen!$A$2:$I$39,9,0)="",0,VLOOKUP(I5,Materialen!$A$2:$I$39,9,0)),0)*(1+N(O5))+N(L5)*IFERROR(IF(VLOOKUP(K5,Materialen!$A$2:$I$39,9,0)="",0,VLOOKUP(K5,Materialen!$A$2:$I$39,9,0)),0)+N(N5)*IFERROR(IF(VLOOKUP(M5,Materialen!$A$2:$I$39,9,0)="",0,VLOOKUP(M5,Materialen!$A$2:$I$39,9,0)),0),2)</f>
        <v/>
      </c>
      <c r="Q5" s="5">
        <f>IF(G5="",0,IF(IFERROR(VLOOKUP(G5,Materialen!$A$2:$I$39,5,0),"N")="J",ROUND(N(H5)*(1+N(O5))*Instellingen!$B$8,2),0))</f>
        <v/>
      </c>
      <c r="R5" s="18" t="n"/>
      <c r="S5" s="5">
        <f>ROUND(N(R5)/60*Instellingen!$B$9,2)</f>
        <v/>
      </c>
      <c r="T5" s="14" t="n"/>
      <c r="U5" s="5">
        <f>P5+Q5+S5+N(T5)</f>
        <v/>
      </c>
      <c r="V5" s="5">
        <f>IF(AC5&lt;&gt;"OK","",F5-U5)</f>
        <v/>
      </c>
      <c r="W5" s="6">
        <f>IF(OR(F5=0,AC5&lt;&gt;"OK"),"",V5/F5)</f>
        <v/>
      </c>
      <c r="X5" s="5">
        <f>IF(N(H5)&gt;0,F5/H5,"")</f>
        <v/>
      </c>
      <c r="Y5" s="5">
        <f>IF(N(H5)&gt;0,IFERROR(IF(VLOOKUP(G5,Materialen!$A$2:$I$39,9,0)="",0,VLOOKUP(G5,Materialen!$A$2:$I$39,9,0)),0),"")</f>
        <v/>
      </c>
      <c r="Z5" s="5">
        <f>ROUND(E5*F5,2)</f>
        <v/>
      </c>
      <c r="AA5" s="5">
        <f>IF(AC5&lt;&gt;"OK","",ROUND(E5*U5,2))</f>
        <v/>
      </c>
      <c r="AB5" s="5">
        <f>IF(AC5&lt;&gt;"OK","",Z5-AA5)</f>
        <v/>
      </c>
      <c r="AC5" s="7">
        <f>IF((IF(G5="",0,IF(IFERROR(IF(VLOOKUP(G5,Materialen!$A$2:$I$39,9,0)="",0,VLOOKUP(G5,Materialen!$A$2:$I$39,9,0)),0)=0,1,0))+IF(I5="",0,IF(IFERROR(IF(VLOOKUP(I5,Materialen!$A$2:$I$39,9,0)="",0,VLOOKUP(I5,Materialen!$A$2:$I$39,9,0)),0)=0,1,0))+IF(K5="",0,IF(IFERROR(IF(VLOOKUP(K5,Materialen!$A$2:$I$39,9,0)="",0,VLOOKUP(K5,Materialen!$A$2:$I$39,9,0)),0)=0,1,0))+IF(M5="",0,IF(IFERROR(IF(VLOOKUP(M5,Materialen!$A$2:$I$39,9,0)="",0,VLOOKUP(M5,Materialen!$A$2:$I$39,9,0)),0)=0,1,0)))&gt;0,"aankoopprijs ontbreekt",IF(AND(G5="",K5="",N(T5)=0,N(R5)=0),"kost invullen (arbeid/overig)","OK"))</f>
        <v/>
      </c>
      <c r="AD5" s="7" t="inlineStr">
        <is>
          <t>Gaines 8 cm: + stof voor zomen niet meegeteld</t>
        </is>
      </c>
    </row>
    <row r="6">
      <c r="A6" s="7" t="n">
        <v>5</v>
      </c>
      <c r="B6" s="7" t="inlineStr">
        <is>
          <t>KAKEMONOS</t>
        </is>
      </c>
      <c r="C6" s="7" t="inlineStr">
        <is>
          <t>Imagix: Format L150 x H450 cm - bâche micro-perforée 450 gr quadri recto UV, avec gaines cousues haut et bas de 8 cm à plat</t>
        </is>
      </c>
      <c r="D6" s="7" t="inlineStr">
        <is>
          <t>pièce</t>
        </is>
      </c>
      <c r="E6" s="7" t="n">
        <v>35</v>
      </c>
      <c r="F6" s="5" t="n">
        <v>110</v>
      </c>
      <c r="G6" s="7" t="inlineStr">
        <is>
          <t>M04</t>
        </is>
      </c>
      <c r="H6" s="20" t="n">
        <v>6.75</v>
      </c>
      <c r="I6" s="7" t="n"/>
      <c r="J6" s="20" t="n"/>
      <c r="K6" s="7" t="n"/>
      <c r="L6" s="7" t="n"/>
      <c r="M6" s="7" t="n"/>
      <c r="N6" s="7" t="n"/>
      <c r="O6" s="6">
        <f>IF(G6="","",IF(IFERROR(VLOOKUP(G6,Materialen!$A$2:$I$39,4,0),"")="plaat",Instellingen!$B$4,Instellingen!$B$3))</f>
        <v/>
      </c>
      <c r="P6" s="5">
        <f>ROUND(N(H6)*IFERROR(IF(VLOOKUP(G6,Materialen!$A$2:$I$39,9,0)="",0,VLOOKUP(G6,Materialen!$A$2:$I$39,9,0)),0)*(1+N(O6))+N(J6)*IFERROR(IF(VLOOKUP(I6,Materialen!$A$2:$I$39,9,0)="",0,VLOOKUP(I6,Materialen!$A$2:$I$39,9,0)),0)*(1+N(O6))+N(L6)*IFERROR(IF(VLOOKUP(K6,Materialen!$A$2:$I$39,9,0)="",0,VLOOKUP(K6,Materialen!$A$2:$I$39,9,0)),0)+N(N6)*IFERROR(IF(VLOOKUP(M6,Materialen!$A$2:$I$39,9,0)="",0,VLOOKUP(M6,Materialen!$A$2:$I$39,9,0)),0),2)</f>
        <v/>
      </c>
      <c r="Q6" s="5">
        <f>IF(G6="",0,IF(IFERROR(VLOOKUP(G6,Materialen!$A$2:$I$39,5,0),"N")="J",ROUND(N(H6)*(1+N(O6))*Instellingen!$B$8,2),0))</f>
        <v/>
      </c>
      <c r="R6" s="18" t="n"/>
      <c r="S6" s="5">
        <f>ROUND(N(R6)/60*Instellingen!$B$9,2)</f>
        <v/>
      </c>
      <c r="T6" s="14" t="n"/>
      <c r="U6" s="5">
        <f>P6+Q6+S6+N(T6)</f>
        <v/>
      </c>
      <c r="V6" s="5">
        <f>IF(AC6&lt;&gt;"OK","",F6-U6)</f>
        <v/>
      </c>
      <c r="W6" s="6">
        <f>IF(OR(F6=0,AC6&lt;&gt;"OK"),"",V6/F6)</f>
        <v/>
      </c>
      <c r="X6" s="5">
        <f>IF(N(H6)&gt;0,F6/H6,"")</f>
        <v/>
      </c>
      <c r="Y6" s="5">
        <f>IF(N(H6)&gt;0,IFERROR(IF(VLOOKUP(G6,Materialen!$A$2:$I$39,9,0)="",0,VLOOKUP(G6,Materialen!$A$2:$I$39,9,0)),0),"")</f>
        <v/>
      </c>
      <c r="Z6" s="5">
        <f>ROUND(E6*F6,2)</f>
        <v/>
      </c>
      <c r="AA6" s="5">
        <f>IF(AC6&lt;&gt;"OK","",ROUND(E6*U6,2))</f>
        <v/>
      </c>
      <c r="AB6" s="5">
        <f>IF(AC6&lt;&gt;"OK","",Z6-AA6)</f>
        <v/>
      </c>
      <c r="AC6" s="7">
        <f>IF((IF(G6="",0,IF(IFERROR(IF(VLOOKUP(G6,Materialen!$A$2:$I$39,9,0)="",0,VLOOKUP(G6,Materialen!$A$2:$I$39,9,0)),0)=0,1,0))+IF(I6="",0,IF(IFERROR(IF(VLOOKUP(I6,Materialen!$A$2:$I$39,9,0)="",0,VLOOKUP(I6,Materialen!$A$2:$I$39,9,0)),0)=0,1,0))+IF(K6="",0,IF(IFERROR(IF(VLOOKUP(K6,Materialen!$A$2:$I$39,9,0)="",0,VLOOKUP(K6,Materialen!$A$2:$I$39,9,0)),0)=0,1,0))+IF(M6="",0,IF(IFERROR(IF(VLOOKUP(M6,Materialen!$A$2:$I$39,9,0)="",0,VLOOKUP(M6,Materialen!$A$2:$I$39,9,0)),0)=0,1,0)))&gt;0,"aankoopprijs ontbreekt",IF(AND(G6="",K6="",N(T6)=0,N(R6)=0),"kost invullen (arbeid/overig)","OK"))</f>
        <v/>
      </c>
      <c r="AD6" s="7" t="inlineStr"/>
    </row>
    <row r="7">
      <c r="A7" s="7" t="n">
        <v>6</v>
      </c>
      <c r="B7" s="7" t="inlineStr">
        <is>
          <t>BÂCHE</t>
        </is>
      </c>
      <c r="C7" s="7" t="inlineStr">
        <is>
          <t>Bâche travaux: Bâche microperforée mesh 350gr/m²  Format L 280cm x H 380cm Impression digital quadricouleur Finition doublure + œillets métalliques tous les 50cm</t>
        </is>
      </c>
      <c r="D7" s="7" t="inlineStr">
        <is>
          <t>pièce</t>
        </is>
      </c>
      <c r="E7" s="7" t="n">
        <v>20</v>
      </c>
      <c r="F7" s="5" t="n">
        <v>130</v>
      </c>
      <c r="G7" s="7" t="inlineStr">
        <is>
          <t>M05</t>
        </is>
      </c>
      <c r="H7" s="20" t="n">
        <v>10.64</v>
      </c>
      <c r="I7" s="7" t="n"/>
      <c r="J7" s="20" t="n"/>
      <c r="K7" s="7" t="inlineStr">
        <is>
          <t>M25</t>
        </is>
      </c>
      <c r="L7" s="7" t="n">
        <v>27</v>
      </c>
      <c r="M7" s="7" t="n"/>
      <c r="N7" s="7" t="n"/>
      <c r="O7" s="6">
        <f>IF(G7="","",IF(IFERROR(VLOOKUP(G7,Materialen!$A$2:$I$39,4,0),"")="plaat",Instellingen!$B$4,Instellingen!$B$3))</f>
        <v/>
      </c>
      <c r="P7" s="5">
        <f>ROUND(N(H7)*IFERROR(IF(VLOOKUP(G7,Materialen!$A$2:$I$39,9,0)="",0,VLOOKUP(G7,Materialen!$A$2:$I$39,9,0)),0)*(1+N(O7))+N(J7)*IFERROR(IF(VLOOKUP(I7,Materialen!$A$2:$I$39,9,0)="",0,VLOOKUP(I7,Materialen!$A$2:$I$39,9,0)),0)*(1+N(O7))+N(L7)*IFERROR(IF(VLOOKUP(K7,Materialen!$A$2:$I$39,9,0)="",0,VLOOKUP(K7,Materialen!$A$2:$I$39,9,0)),0)+N(N7)*IFERROR(IF(VLOOKUP(M7,Materialen!$A$2:$I$39,9,0)="",0,VLOOKUP(M7,Materialen!$A$2:$I$39,9,0)),0),2)</f>
        <v/>
      </c>
      <c r="Q7" s="5">
        <f>IF(G7="",0,IF(IFERROR(VLOOKUP(G7,Materialen!$A$2:$I$39,5,0),"N")="J",ROUND(N(H7)*(1+N(O7))*Instellingen!$B$8,2),0))</f>
        <v/>
      </c>
      <c r="R7" s="18" t="n"/>
      <c r="S7" s="5">
        <f>ROUND(N(R7)/60*Instellingen!$B$9,2)</f>
        <v/>
      </c>
      <c r="T7" s="14" t="n"/>
      <c r="U7" s="5">
        <f>P7+Q7+S7+N(T7)</f>
        <v/>
      </c>
      <c r="V7" s="5">
        <f>IF(AC7&lt;&gt;"OK","",F7-U7)</f>
        <v/>
      </c>
      <c r="W7" s="6">
        <f>IF(OR(F7=0,AC7&lt;&gt;"OK"),"",V7/F7)</f>
        <v/>
      </c>
      <c r="X7" s="5">
        <f>IF(N(H7)&gt;0,F7/H7,"")</f>
        <v/>
      </c>
      <c r="Y7" s="5">
        <f>IF(N(H7)&gt;0,IFERROR(IF(VLOOKUP(G7,Materialen!$A$2:$I$39,9,0)="",0,VLOOKUP(G7,Materialen!$A$2:$I$39,9,0)),0),"")</f>
        <v/>
      </c>
      <c r="Z7" s="5">
        <f>ROUND(E7*F7,2)</f>
        <v/>
      </c>
      <c r="AA7" s="5">
        <f>IF(AC7&lt;&gt;"OK","",ROUND(E7*U7,2))</f>
        <v/>
      </c>
      <c r="AB7" s="5">
        <f>IF(AC7&lt;&gt;"OK","",Z7-AA7)</f>
        <v/>
      </c>
      <c r="AC7" s="7">
        <f>IF((IF(G7="",0,IF(IFERROR(IF(VLOOKUP(G7,Materialen!$A$2:$I$39,9,0)="",0,VLOOKUP(G7,Materialen!$A$2:$I$39,9,0)),0)=0,1,0))+IF(I7="",0,IF(IFERROR(IF(VLOOKUP(I7,Materialen!$A$2:$I$39,9,0)="",0,VLOOKUP(I7,Materialen!$A$2:$I$39,9,0)),0)=0,1,0))+IF(K7="",0,IF(IFERROR(IF(VLOOKUP(K7,Materialen!$A$2:$I$39,9,0)="",0,VLOOKUP(K7,Materialen!$A$2:$I$39,9,0)),0)=0,1,0))+IF(M7="",0,IF(IFERROR(IF(VLOOKUP(M7,Materialen!$A$2:$I$39,9,0)="",0,VLOOKUP(M7,Materialen!$A$2:$I$39,9,0)),0)=0,1,0)))&gt;0,"aankoopprijs ontbreekt",IF(AND(G7="",K7="",N(T7)=0,N(R7)=0),"kost invullen (arbeid/overig)","OK"))</f>
        <v/>
      </c>
      <c r="AD7" s="7" t="inlineStr">
        <is>
          <t>Oogjes om de 50 cm</t>
        </is>
      </c>
    </row>
    <row r="8">
      <c r="A8" s="7" t="n">
        <v>7</v>
      </c>
      <c r="B8" s="7" t="inlineStr">
        <is>
          <t>BÂCHE</t>
        </is>
      </c>
      <c r="C8" s="7" t="inlineStr">
        <is>
          <t>Bâche barrières HERAS : Bâche micro perforée290gr format H 1,7 m x 3,4 m impression quadri finition doublure + œillets métalliques tous les 50 cm</t>
        </is>
      </c>
      <c r="D8" s="7" t="inlineStr">
        <is>
          <t>pièce</t>
        </is>
      </c>
      <c r="E8" s="7" t="n">
        <v>30</v>
      </c>
      <c r="F8" s="5" t="n">
        <v>70</v>
      </c>
      <c r="G8" s="7" t="inlineStr">
        <is>
          <t>M06</t>
        </is>
      </c>
      <c r="H8" s="20" t="n">
        <v>5.78</v>
      </c>
      <c r="I8" s="7" t="n"/>
      <c r="J8" s="20" t="n"/>
      <c r="K8" s="7" t="inlineStr">
        <is>
          <t>M25</t>
        </is>
      </c>
      <c r="L8" s="7" t="n">
        <v>21</v>
      </c>
      <c r="M8" s="7" t="n"/>
      <c r="N8" s="7" t="n"/>
      <c r="O8" s="6">
        <f>IF(G8="","",IF(IFERROR(VLOOKUP(G8,Materialen!$A$2:$I$39,4,0),"")="plaat",Instellingen!$B$4,Instellingen!$B$3))</f>
        <v/>
      </c>
      <c r="P8" s="5">
        <f>ROUND(N(H8)*IFERROR(IF(VLOOKUP(G8,Materialen!$A$2:$I$39,9,0)="",0,VLOOKUP(G8,Materialen!$A$2:$I$39,9,0)),0)*(1+N(O8))+N(J8)*IFERROR(IF(VLOOKUP(I8,Materialen!$A$2:$I$39,9,0)="",0,VLOOKUP(I8,Materialen!$A$2:$I$39,9,0)),0)*(1+N(O8))+N(L8)*IFERROR(IF(VLOOKUP(K8,Materialen!$A$2:$I$39,9,0)="",0,VLOOKUP(K8,Materialen!$A$2:$I$39,9,0)),0)+N(N8)*IFERROR(IF(VLOOKUP(M8,Materialen!$A$2:$I$39,9,0)="",0,VLOOKUP(M8,Materialen!$A$2:$I$39,9,0)),0),2)</f>
        <v/>
      </c>
      <c r="Q8" s="5">
        <f>IF(G8="",0,IF(IFERROR(VLOOKUP(G8,Materialen!$A$2:$I$39,5,0),"N")="J",ROUND(N(H8)*(1+N(O8))*Instellingen!$B$8,2),0))</f>
        <v/>
      </c>
      <c r="R8" s="18" t="n"/>
      <c r="S8" s="5">
        <f>ROUND(N(R8)/60*Instellingen!$B$9,2)</f>
        <v/>
      </c>
      <c r="T8" s="14" t="n"/>
      <c r="U8" s="5">
        <f>P8+Q8+S8+N(T8)</f>
        <v/>
      </c>
      <c r="V8" s="5">
        <f>IF(AC8&lt;&gt;"OK","",F8-U8)</f>
        <v/>
      </c>
      <c r="W8" s="6">
        <f>IF(OR(F8=0,AC8&lt;&gt;"OK"),"",V8/F8)</f>
        <v/>
      </c>
      <c r="X8" s="5">
        <f>IF(N(H8)&gt;0,F8/H8,"")</f>
        <v/>
      </c>
      <c r="Y8" s="5">
        <f>IF(N(H8)&gt;0,IFERROR(IF(VLOOKUP(G8,Materialen!$A$2:$I$39,9,0)="",0,VLOOKUP(G8,Materialen!$A$2:$I$39,9,0)),0),"")</f>
        <v/>
      </c>
      <c r="Z8" s="5">
        <f>ROUND(E8*F8,2)</f>
        <v/>
      </c>
      <c r="AA8" s="5">
        <f>IF(AC8&lt;&gt;"OK","",ROUND(E8*U8,2))</f>
        <v/>
      </c>
      <c r="AB8" s="5">
        <f>IF(AC8&lt;&gt;"OK","",Z8-AA8)</f>
        <v/>
      </c>
      <c r="AC8" s="7">
        <f>IF((IF(G8="",0,IF(IFERROR(IF(VLOOKUP(G8,Materialen!$A$2:$I$39,9,0)="",0,VLOOKUP(G8,Materialen!$A$2:$I$39,9,0)),0)=0,1,0))+IF(I8="",0,IF(IFERROR(IF(VLOOKUP(I8,Materialen!$A$2:$I$39,9,0)="",0,VLOOKUP(I8,Materialen!$A$2:$I$39,9,0)),0)=0,1,0))+IF(K8="",0,IF(IFERROR(IF(VLOOKUP(K8,Materialen!$A$2:$I$39,9,0)="",0,VLOOKUP(K8,Materialen!$A$2:$I$39,9,0)),0)=0,1,0))+IF(M8="",0,IF(IFERROR(IF(VLOOKUP(M8,Materialen!$A$2:$I$39,9,0)="",0,VLOOKUP(M8,Materialen!$A$2:$I$39,9,0)),0)=0,1,0)))&gt;0,"aankoopprijs ontbreekt",IF(AND(G8="",K8="",N(T8)=0,N(R8)=0),"kost invullen (arbeid/overig)","OK"))</f>
        <v/>
      </c>
      <c r="AD8" s="7" t="inlineStr">
        <is>
          <t>Oogjes om de 50 cm</t>
        </is>
      </c>
    </row>
    <row r="9">
      <c r="A9" s="7" t="n">
        <v>8</v>
      </c>
      <c r="B9" s="7" t="inlineStr">
        <is>
          <t>BÂCHE</t>
        </is>
      </c>
      <c r="C9" s="7" t="inlineStr">
        <is>
          <t>Bâche bas de la rue Neuve: H380 x L260 cm, avec œillets tous les 30 cm et élastiques, impression en quadrichromie</t>
        </is>
      </c>
      <c r="D9" s="7" t="inlineStr">
        <is>
          <t>pièce</t>
        </is>
      </c>
      <c r="E9" s="7" t="n">
        <v>10</v>
      </c>
      <c r="F9" s="5" t="n">
        <v>115</v>
      </c>
      <c r="G9" s="7" t="inlineStr">
        <is>
          <t>M02</t>
        </is>
      </c>
      <c r="H9" s="20" t="n">
        <v>9.880000000000001</v>
      </c>
      <c r="I9" s="7" t="n"/>
      <c r="J9" s="20" t="n"/>
      <c r="K9" s="7" t="inlineStr">
        <is>
          <t>M25</t>
        </is>
      </c>
      <c r="L9" s="7" t="n">
        <v>43</v>
      </c>
      <c r="M9" s="7" t="inlineStr">
        <is>
          <t>M24</t>
        </is>
      </c>
      <c r="N9" s="7" t="n">
        <v>43</v>
      </c>
      <c r="O9" s="6">
        <f>IF(G9="","",IF(IFERROR(VLOOKUP(G9,Materialen!$A$2:$I$39,4,0),"")="plaat",Instellingen!$B$4,Instellingen!$B$3))</f>
        <v/>
      </c>
      <c r="P9" s="5">
        <f>ROUND(N(H9)*IFERROR(IF(VLOOKUP(G9,Materialen!$A$2:$I$39,9,0)="",0,VLOOKUP(G9,Materialen!$A$2:$I$39,9,0)),0)*(1+N(O9))+N(J9)*IFERROR(IF(VLOOKUP(I9,Materialen!$A$2:$I$39,9,0)="",0,VLOOKUP(I9,Materialen!$A$2:$I$39,9,0)),0)*(1+N(O9))+N(L9)*IFERROR(IF(VLOOKUP(K9,Materialen!$A$2:$I$39,9,0)="",0,VLOOKUP(K9,Materialen!$A$2:$I$39,9,0)),0)+N(N9)*IFERROR(IF(VLOOKUP(M9,Materialen!$A$2:$I$39,9,0)="",0,VLOOKUP(M9,Materialen!$A$2:$I$39,9,0)),0),2)</f>
        <v/>
      </c>
      <c r="Q9" s="5">
        <f>IF(G9="",0,IF(IFERROR(VLOOKUP(G9,Materialen!$A$2:$I$39,5,0),"N")="J",ROUND(N(H9)*(1+N(O9))*Instellingen!$B$8,2),0))</f>
        <v/>
      </c>
      <c r="R9" s="18" t="n"/>
      <c r="S9" s="5">
        <f>ROUND(N(R9)/60*Instellingen!$B$9,2)</f>
        <v/>
      </c>
      <c r="T9" s="14" t="n"/>
      <c r="U9" s="5">
        <f>P9+Q9+S9+N(T9)</f>
        <v/>
      </c>
      <c r="V9" s="5">
        <f>IF(AC9&lt;&gt;"OK","",F9-U9)</f>
        <v/>
      </c>
      <c r="W9" s="6">
        <f>IF(OR(F9=0,AC9&lt;&gt;"OK"),"",V9/F9)</f>
        <v/>
      </c>
      <c r="X9" s="5">
        <f>IF(N(H9)&gt;0,F9/H9,"")</f>
        <v/>
      </c>
      <c r="Y9" s="5">
        <f>IF(N(H9)&gt;0,IFERROR(IF(VLOOKUP(G9,Materialen!$A$2:$I$39,9,0)="",0,VLOOKUP(G9,Materialen!$A$2:$I$39,9,0)),0),"")</f>
        <v/>
      </c>
      <c r="Z9" s="5">
        <f>ROUND(E9*F9,2)</f>
        <v/>
      </c>
      <c r="AA9" s="5">
        <f>IF(AC9&lt;&gt;"OK","",ROUND(E9*U9,2))</f>
        <v/>
      </c>
      <c r="AB9" s="5">
        <f>IF(AC9&lt;&gt;"OK","",Z9-AA9)</f>
        <v/>
      </c>
      <c r="AC9" s="7">
        <f>IF((IF(G9="",0,IF(IFERROR(IF(VLOOKUP(G9,Materialen!$A$2:$I$39,9,0)="",0,VLOOKUP(G9,Materialen!$A$2:$I$39,9,0)),0)=0,1,0))+IF(I9="",0,IF(IFERROR(IF(VLOOKUP(I9,Materialen!$A$2:$I$39,9,0)="",0,VLOOKUP(I9,Materialen!$A$2:$I$39,9,0)),0)=0,1,0))+IF(K9="",0,IF(IFERROR(IF(VLOOKUP(K9,Materialen!$A$2:$I$39,9,0)="",0,VLOOKUP(K9,Materialen!$A$2:$I$39,9,0)),0)=0,1,0))+IF(M9="",0,IF(IFERROR(IF(VLOOKUP(M9,Materialen!$A$2:$I$39,9,0)="",0,VLOOKUP(M9,Materialen!$A$2:$I$39,9,0)),0)=0,1,0)))&gt;0,"aankoopprijs ontbreekt",IF(AND(G9="",K9="",N(T9)=0,N(R9)=0),"kost invullen (arbeid/overig)","OK"))</f>
        <v/>
      </c>
      <c r="AD9" s="7" t="inlineStr">
        <is>
          <t>Grammage niet in bestek: frontlit 450 aangenomen</t>
        </is>
      </c>
    </row>
    <row r="10">
      <c r="A10" s="7" t="n">
        <v>9</v>
      </c>
      <c r="B10" s="7" t="inlineStr">
        <is>
          <t>BÂCHE</t>
        </is>
      </c>
      <c r="C10" s="7" t="inlineStr">
        <is>
          <t>Bâche façade Warocqué: L380 x H230 cm, quadri recto UV - Support Frontlit 450 gr - Façonnage ourlets et œillets tous les 30 cm sur les 4 côtés</t>
        </is>
      </c>
      <c r="D10" s="7" t="inlineStr">
        <is>
          <t>pièce</t>
        </is>
      </c>
      <c r="E10" s="7" t="n">
        <v>10</v>
      </c>
      <c r="F10" s="5" t="n">
        <v>120</v>
      </c>
      <c r="G10" s="7" t="inlineStr">
        <is>
          <t>M02</t>
        </is>
      </c>
      <c r="H10" s="20" t="n">
        <v>8.74</v>
      </c>
      <c r="I10" s="7" t="n"/>
      <c r="J10" s="20" t="n"/>
      <c r="K10" s="7" t="inlineStr">
        <is>
          <t>M25</t>
        </is>
      </c>
      <c r="L10" s="7" t="n">
        <v>41</v>
      </c>
      <c r="M10" s="7" t="n"/>
      <c r="N10" s="7" t="n"/>
      <c r="O10" s="6">
        <f>IF(G10="","",IF(IFERROR(VLOOKUP(G10,Materialen!$A$2:$I$39,4,0),"")="plaat",Instellingen!$B$4,Instellingen!$B$3))</f>
        <v/>
      </c>
      <c r="P10" s="5">
        <f>ROUND(N(H10)*IFERROR(IF(VLOOKUP(G10,Materialen!$A$2:$I$39,9,0)="",0,VLOOKUP(G10,Materialen!$A$2:$I$39,9,0)),0)*(1+N(O10))+N(J10)*IFERROR(IF(VLOOKUP(I10,Materialen!$A$2:$I$39,9,0)="",0,VLOOKUP(I10,Materialen!$A$2:$I$39,9,0)),0)*(1+N(O10))+N(L10)*IFERROR(IF(VLOOKUP(K10,Materialen!$A$2:$I$39,9,0)="",0,VLOOKUP(K10,Materialen!$A$2:$I$39,9,0)),0)+N(N10)*IFERROR(IF(VLOOKUP(M10,Materialen!$A$2:$I$39,9,0)="",0,VLOOKUP(M10,Materialen!$A$2:$I$39,9,0)),0),2)</f>
        <v/>
      </c>
      <c r="Q10" s="5">
        <f>IF(G10="",0,IF(IFERROR(VLOOKUP(G10,Materialen!$A$2:$I$39,5,0),"N")="J",ROUND(N(H10)*(1+N(O10))*Instellingen!$B$8,2),0))</f>
        <v/>
      </c>
      <c r="R10" s="18" t="n"/>
      <c r="S10" s="5">
        <f>ROUND(N(R10)/60*Instellingen!$B$9,2)</f>
        <v/>
      </c>
      <c r="T10" s="14" t="n"/>
      <c r="U10" s="5">
        <f>P10+Q10+S10+N(T10)</f>
        <v/>
      </c>
      <c r="V10" s="5">
        <f>IF(AC10&lt;&gt;"OK","",F10-U10)</f>
        <v/>
      </c>
      <c r="W10" s="6">
        <f>IF(OR(F10=0,AC10&lt;&gt;"OK"),"",V10/F10)</f>
        <v/>
      </c>
      <c r="X10" s="5">
        <f>IF(N(H10)&gt;0,F10/H10,"")</f>
        <v/>
      </c>
      <c r="Y10" s="5">
        <f>IF(N(H10)&gt;0,IFERROR(IF(VLOOKUP(G10,Materialen!$A$2:$I$39,9,0)="",0,VLOOKUP(G10,Materialen!$A$2:$I$39,9,0)),0),"")</f>
        <v/>
      </c>
      <c r="Z10" s="5">
        <f>ROUND(E10*F10,2)</f>
        <v/>
      </c>
      <c r="AA10" s="5">
        <f>IF(AC10&lt;&gt;"OK","",ROUND(E10*U10,2))</f>
        <v/>
      </c>
      <c r="AB10" s="5">
        <f>IF(AC10&lt;&gt;"OK","",Z10-AA10)</f>
        <v/>
      </c>
      <c r="AC10" s="7">
        <f>IF((IF(G10="",0,IF(IFERROR(IF(VLOOKUP(G10,Materialen!$A$2:$I$39,9,0)="",0,VLOOKUP(G10,Materialen!$A$2:$I$39,9,0)),0)=0,1,0))+IF(I10="",0,IF(IFERROR(IF(VLOOKUP(I10,Materialen!$A$2:$I$39,9,0)="",0,VLOOKUP(I10,Materialen!$A$2:$I$39,9,0)),0)=0,1,0))+IF(K10="",0,IF(IFERROR(IF(VLOOKUP(K10,Materialen!$A$2:$I$39,9,0)="",0,VLOOKUP(K10,Materialen!$A$2:$I$39,9,0)),0)=0,1,0))+IF(M10="",0,IF(IFERROR(IF(VLOOKUP(M10,Materialen!$A$2:$I$39,9,0)="",0,VLOOKUP(M10,Materialen!$A$2:$I$39,9,0)),0)=0,1,0)))&gt;0,"aankoopprijs ontbreekt",IF(AND(G10="",K10="",N(T10)=0,N(R10)=0),"kost invullen (arbeid/overig)","OK"))</f>
        <v/>
      </c>
      <c r="AD10" s="7" t="inlineStr">
        <is>
          <t>Oogjes om de 30 cm</t>
        </is>
      </c>
    </row>
    <row r="11">
      <c r="A11" s="7" t="n">
        <v>10</v>
      </c>
      <c r="B11" s="7" t="inlineStr">
        <is>
          <t>BÂCHE</t>
        </is>
      </c>
      <c r="C11" s="7" t="inlineStr">
        <is>
          <t>Bâche pour CUBES: 180 x 180 cm - œillets tous les 30 cm - bâche 330 gr - 10 cm de marge sur chaque côté - 5 mm de bords perdus</t>
        </is>
      </c>
      <c r="D11" s="7" t="inlineStr">
        <is>
          <t>pièce</t>
        </is>
      </c>
      <c r="E11" s="7" t="n">
        <v>70</v>
      </c>
      <c r="F11" s="5" t="n">
        <v>42</v>
      </c>
      <c r="G11" s="7" t="inlineStr">
        <is>
          <t>M07</t>
        </is>
      </c>
      <c r="H11" s="20" t="n">
        <v>3.24</v>
      </c>
      <c r="I11" s="7" t="n"/>
      <c r="J11" s="20" t="n"/>
      <c r="K11" s="7" t="inlineStr">
        <is>
          <t>M25</t>
        </is>
      </c>
      <c r="L11" s="7" t="n">
        <v>24</v>
      </c>
      <c r="M11" s="7" t="n"/>
      <c r="N11" s="7" t="n"/>
      <c r="O11" s="6">
        <f>IF(G11="","",IF(IFERROR(VLOOKUP(G11,Materialen!$A$2:$I$39,4,0),"")="plaat",Instellingen!$B$4,Instellingen!$B$3))</f>
        <v/>
      </c>
      <c r="P11" s="5">
        <f>ROUND(N(H11)*IFERROR(IF(VLOOKUP(G11,Materialen!$A$2:$I$39,9,0)="",0,VLOOKUP(G11,Materialen!$A$2:$I$39,9,0)),0)*(1+N(O11))+N(J11)*IFERROR(IF(VLOOKUP(I11,Materialen!$A$2:$I$39,9,0)="",0,VLOOKUP(I11,Materialen!$A$2:$I$39,9,0)),0)*(1+N(O11))+N(L11)*IFERROR(IF(VLOOKUP(K11,Materialen!$A$2:$I$39,9,0)="",0,VLOOKUP(K11,Materialen!$A$2:$I$39,9,0)),0)+N(N11)*IFERROR(IF(VLOOKUP(M11,Materialen!$A$2:$I$39,9,0)="",0,VLOOKUP(M11,Materialen!$A$2:$I$39,9,0)),0),2)</f>
        <v/>
      </c>
      <c r="Q11" s="5">
        <f>IF(G11="",0,IF(IFERROR(VLOOKUP(G11,Materialen!$A$2:$I$39,5,0),"N")="J",ROUND(N(H11)*(1+N(O11))*Instellingen!$B$8,2),0))</f>
        <v/>
      </c>
      <c r="R11" s="18" t="n"/>
      <c r="S11" s="5">
        <f>ROUND(N(R11)/60*Instellingen!$B$9,2)</f>
        <v/>
      </c>
      <c r="T11" s="14" t="n"/>
      <c r="U11" s="5">
        <f>P11+Q11+S11+N(T11)</f>
        <v/>
      </c>
      <c r="V11" s="5">
        <f>IF(AC11&lt;&gt;"OK","",F11-U11)</f>
        <v/>
      </c>
      <c r="W11" s="6">
        <f>IF(OR(F11=0,AC11&lt;&gt;"OK"),"",V11/F11)</f>
        <v/>
      </c>
      <c r="X11" s="5">
        <f>IF(N(H11)&gt;0,F11/H11,"")</f>
        <v/>
      </c>
      <c r="Y11" s="5">
        <f>IF(N(H11)&gt;0,IFERROR(IF(VLOOKUP(G11,Materialen!$A$2:$I$39,9,0)="",0,VLOOKUP(G11,Materialen!$A$2:$I$39,9,0)),0),"")</f>
        <v/>
      </c>
      <c r="Z11" s="5">
        <f>ROUND(E11*F11,2)</f>
        <v/>
      </c>
      <c r="AA11" s="5">
        <f>IF(AC11&lt;&gt;"OK","",ROUND(E11*U11,2))</f>
        <v/>
      </c>
      <c r="AB11" s="5">
        <f>IF(AC11&lt;&gt;"OK","",Z11-AA11)</f>
        <v/>
      </c>
      <c r="AC11" s="7">
        <f>IF((IF(G11="",0,IF(IFERROR(IF(VLOOKUP(G11,Materialen!$A$2:$I$39,9,0)="",0,VLOOKUP(G11,Materialen!$A$2:$I$39,9,0)),0)=0,1,0))+IF(I11="",0,IF(IFERROR(IF(VLOOKUP(I11,Materialen!$A$2:$I$39,9,0)="",0,VLOOKUP(I11,Materialen!$A$2:$I$39,9,0)),0)=0,1,0))+IF(K11="",0,IF(IFERROR(IF(VLOOKUP(K11,Materialen!$A$2:$I$39,9,0)="",0,VLOOKUP(K11,Materialen!$A$2:$I$39,9,0)),0)=0,1,0))+IF(M11="",0,IF(IFERROR(IF(VLOOKUP(M11,Materialen!$A$2:$I$39,9,0)="",0,VLOOKUP(M11,Materialen!$A$2:$I$39,9,0)),0)=0,1,0)))&gt;0,"aankoopprijs ontbreekt",IF(AND(G11="",K11="",N(T11)=0,N(R11)=0),"kost invullen (arbeid/overig)","OK"))</f>
        <v/>
      </c>
      <c r="AD11" s="7" t="inlineStr"/>
    </row>
    <row r="12">
      <c r="A12" s="7" t="n">
        <v>11</v>
      </c>
      <c r="B12" s="7" t="inlineStr">
        <is>
          <t>BÂCHE</t>
        </is>
      </c>
      <c r="C12" s="7" t="inlineStr">
        <is>
          <t>Bâche « cube visitmons » o Format : L105 x H215 cm  o Caractéristiques : Bâche Pro 550g, soudure du bord périmètre, œillets tous les 50cm périmètre o Couleurs : impression en quadrichromie</t>
        </is>
      </c>
      <c r="D12" s="7" t="inlineStr">
        <is>
          <t>pièce</t>
        </is>
      </c>
      <c r="E12" s="7" t="n">
        <v>90</v>
      </c>
      <c r="F12" s="5" t="n">
        <v>52</v>
      </c>
      <c r="G12" s="7" t="inlineStr">
        <is>
          <t>M03</t>
        </is>
      </c>
      <c r="H12" s="20" t="n">
        <v>2.26</v>
      </c>
      <c r="I12" s="7" t="n"/>
      <c r="J12" s="20" t="n"/>
      <c r="K12" s="7" t="inlineStr">
        <is>
          <t>M25</t>
        </is>
      </c>
      <c r="L12" s="7" t="n">
        <v>13</v>
      </c>
      <c r="M12" s="7" t="n"/>
      <c r="N12" s="7" t="n"/>
      <c r="O12" s="6">
        <f>IF(G12="","",IF(IFERROR(VLOOKUP(G12,Materialen!$A$2:$I$39,4,0),"")="plaat",Instellingen!$B$4,Instellingen!$B$3))</f>
        <v/>
      </c>
      <c r="P12" s="5">
        <f>ROUND(N(H12)*IFERROR(IF(VLOOKUP(G12,Materialen!$A$2:$I$39,9,0)="",0,VLOOKUP(G12,Materialen!$A$2:$I$39,9,0)),0)*(1+N(O12))+N(J12)*IFERROR(IF(VLOOKUP(I12,Materialen!$A$2:$I$39,9,0)="",0,VLOOKUP(I12,Materialen!$A$2:$I$39,9,0)),0)*(1+N(O12))+N(L12)*IFERROR(IF(VLOOKUP(K12,Materialen!$A$2:$I$39,9,0)="",0,VLOOKUP(K12,Materialen!$A$2:$I$39,9,0)),0)+N(N12)*IFERROR(IF(VLOOKUP(M12,Materialen!$A$2:$I$39,9,0)="",0,VLOOKUP(M12,Materialen!$A$2:$I$39,9,0)),0),2)</f>
        <v/>
      </c>
      <c r="Q12" s="5">
        <f>IF(G12="",0,IF(IFERROR(VLOOKUP(G12,Materialen!$A$2:$I$39,5,0),"N")="J",ROUND(N(H12)*(1+N(O12))*Instellingen!$B$8,2),0))</f>
        <v/>
      </c>
      <c r="R12" s="18" t="n"/>
      <c r="S12" s="5">
        <f>ROUND(N(R12)/60*Instellingen!$B$9,2)</f>
        <v/>
      </c>
      <c r="T12" s="14" t="n"/>
      <c r="U12" s="5">
        <f>P12+Q12+S12+N(T12)</f>
        <v/>
      </c>
      <c r="V12" s="5">
        <f>IF(AC12&lt;&gt;"OK","",F12-U12)</f>
        <v/>
      </c>
      <c r="W12" s="6">
        <f>IF(OR(F12=0,AC12&lt;&gt;"OK"),"",V12/F12)</f>
        <v/>
      </c>
      <c r="X12" s="5">
        <f>IF(N(H12)&gt;0,F12/H12,"")</f>
        <v/>
      </c>
      <c r="Y12" s="5">
        <f>IF(N(H12)&gt;0,IFERROR(IF(VLOOKUP(G12,Materialen!$A$2:$I$39,9,0)="",0,VLOOKUP(G12,Materialen!$A$2:$I$39,9,0)),0),"")</f>
        <v/>
      </c>
      <c r="Z12" s="5">
        <f>ROUND(E12*F12,2)</f>
        <v/>
      </c>
      <c r="AA12" s="5">
        <f>IF(AC12&lt;&gt;"OK","",ROUND(E12*U12,2))</f>
        <v/>
      </c>
      <c r="AB12" s="5">
        <f>IF(AC12&lt;&gt;"OK","",Z12-AA12)</f>
        <v/>
      </c>
      <c r="AC12" s="7">
        <f>IF((IF(G12="",0,IF(IFERROR(IF(VLOOKUP(G12,Materialen!$A$2:$I$39,9,0)="",0,VLOOKUP(G12,Materialen!$A$2:$I$39,9,0)),0)=0,1,0))+IF(I12="",0,IF(IFERROR(IF(VLOOKUP(I12,Materialen!$A$2:$I$39,9,0)="",0,VLOOKUP(I12,Materialen!$A$2:$I$39,9,0)),0)=0,1,0))+IF(K12="",0,IF(IFERROR(IF(VLOOKUP(K12,Materialen!$A$2:$I$39,9,0)="",0,VLOOKUP(K12,Materialen!$A$2:$I$39,9,0)),0)=0,1,0))+IF(M12="",0,IF(IFERROR(IF(VLOOKUP(M12,Materialen!$A$2:$I$39,9,0)="",0,VLOOKUP(M12,Materialen!$A$2:$I$39,9,0)),0)=0,1,0)))&gt;0,"aankoopprijs ontbreekt",IF(AND(G12="",K12="",N(T12)=0,N(R12)=0),"kost invullen (arbeid/overig)","OK"))</f>
        <v/>
      </c>
      <c r="AD12" s="7" t="inlineStr"/>
    </row>
    <row r="13">
      <c r="A13" s="7" t="n">
        <v>12</v>
      </c>
      <c r="B13" s="7" t="inlineStr">
        <is>
          <t>BÂCHE</t>
        </is>
      </c>
      <c r="C13" s="7" t="inlineStr">
        <is>
          <t>Bâche barrière « Nadar » o Format : L200xH110cm o Caractéristiques : bâche micro-perforée 290gr avec des œillets tous les 50cm, avec soudure du bord  o Couleurs : impression en quadrichromie</t>
        </is>
      </c>
      <c r="D13" s="7" t="inlineStr">
        <is>
          <t>pièce</t>
        </is>
      </c>
      <c r="E13" s="7" t="n">
        <v>70</v>
      </c>
      <c r="F13" s="5" t="n">
        <v>38</v>
      </c>
      <c r="G13" s="7" t="inlineStr">
        <is>
          <t>M06</t>
        </is>
      </c>
      <c r="H13" s="20" t="n">
        <v>2.2</v>
      </c>
      <c r="I13" s="7" t="n"/>
      <c r="J13" s="20" t="n"/>
      <c r="K13" s="7" t="inlineStr">
        <is>
          <t>M25</t>
        </is>
      </c>
      <c r="L13" s="7" t="n">
        <v>13</v>
      </c>
      <c r="M13" s="7" t="n"/>
      <c r="N13" s="7" t="n"/>
      <c r="O13" s="6">
        <f>IF(G13="","",IF(IFERROR(VLOOKUP(G13,Materialen!$A$2:$I$39,4,0),"")="plaat",Instellingen!$B$4,Instellingen!$B$3))</f>
        <v/>
      </c>
      <c r="P13" s="5">
        <f>ROUND(N(H13)*IFERROR(IF(VLOOKUP(G13,Materialen!$A$2:$I$39,9,0)="",0,VLOOKUP(G13,Materialen!$A$2:$I$39,9,0)),0)*(1+N(O13))+N(J13)*IFERROR(IF(VLOOKUP(I13,Materialen!$A$2:$I$39,9,0)="",0,VLOOKUP(I13,Materialen!$A$2:$I$39,9,0)),0)*(1+N(O13))+N(L13)*IFERROR(IF(VLOOKUP(K13,Materialen!$A$2:$I$39,9,0)="",0,VLOOKUP(K13,Materialen!$A$2:$I$39,9,0)),0)+N(N13)*IFERROR(IF(VLOOKUP(M13,Materialen!$A$2:$I$39,9,0)="",0,VLOOKUP(M13,Materialen!$A$2:$I$39,9,0)),0),2)</f>
        <v/>
      </c>
      <c r="Q13" s="5">
        <f>IF(G13="",0,IF(IFERROR(VLOOKUP(G13,Materialen!$A$2:$I$39,5,0),"N")="J",ROUND(N(H13)*(1+N(O13))*Instellingen!$B$8,2),0))</f>
        <v/>
      </c>
      <c r="R13" s="18" t="n"/>
      <c r="S13" s="5">
        <f>ROUND(N(R13)/60*Instellingen!$B$9,2)</f>
        <v/>
      </c>
      <c r="T13" s="14" t="n"/>
      <c r="U13" s="5">
        <f>P13+Q13+S13+N(T13)</f>
        <v/>
      </c>
      <c r="V13" s="5">
        <f>IF(AC13&lt;&gt;"OK","",F13-U13)</f>
        <v/>
      </c>
      <c r="W13" s="6">
        <f>IF(OR(F13=0,AC13&lt;&gt;"OK"),"",V13/F13)</f>
        <v/>
      </c>
      <c r="X13" s="5">
        <f>IF(N(H13)&gt;0,F13/H13,"")</f>
        <v/>
      </c>
      <c r="Y13" s="5">
        <f>IF(N(H13)&gt;0,IFERROR(IF(VLOOKUP(G13,Materialen!$A$2:$I$39,9,0)="",0,VLOOKUP(G13,Materialen!$A$2:$I$39,9,0)),0),"")</f>
        <v/>
      </c>
      <c r="Z13" s="5">
        <f>ROUND(E13*F13,2)</f>
        <v/>
      </c>
      <c r="AA13" s="5">
        <f>IF(AC13&lt;&gt;"OK","",ROUND(E13*U13,2))</f>
        <v/>
      </c>
      <c r="AB13" s="5">
        <f>IF(AC13&lt;&gt;"OK","",Z13-AA13)</f>
        <v/>
      </c>
      <c r="AC13" s="7">
        <f>IF((IF(G13="",0,IF(IFERROR(IF(VLOOKUP(G13,Materialen!$A$2:$I$39,9,0)="",0,VLOOKUP(G13,Materialen!$A$2:$I$39,9,0)),0)=0,1,0))+IF(I13="",0,IF(IFERROR(IF(VLOOKUP(I13,Materialen!$A$2:$I$39,9,0)="",0,VLOOKUP(I13,Materialen!$A$2:$I$39,9,0)),0)=0,1,0))+IF(K13="",0,IF(IFERROR(IF(VLOOKUP(K13,Materialen!$A$2:$I$39,9,0)="",0,VLOOKUP(K13,Materialen!$A$2:$I$39,9,0)),0)=0,1,0))+IF(M13="",0,IF(IFERROR(IF(VLOOKUP(M13,Materialen!$A$2:$I$39,9,0)="",0,VLOOKUP(M13,Materialen!$A$2:$I$39,9,0)),0)=0,1,0)))&gt;0,"aankoopprijs ontbreekt",IF(AND(G13="",K13="",N(T13)=0,N(R13)=0),"kost invullen (arbeid/overig)","OK"))</f>
        <v/>
      </c>
      <c r="AD13" s="7" t="inlineStr"/>
    </row>
    <row r="14">
      <c r="A14" s="7" t="n">
        <v>13</v>
      </c>
      <c r="B14" s="7" t="inlineStr">
        <is>
          <t>ROLLS UP</t>
        </is>
      </c>
      <c r="C14" s="7" t="inlineStr">
        <is>
          <t>Rolls up : Format L 85x H 200 cm - Impression quadri recto - sac de transport inclus</t>
        </is>
      </c>
      <c r="D14" s="7" t="inlineStr">
        <is>
          <t>pièce</t>
        </is>
      </c>
      <c r="E14" s="7" t="n">
        <v>10</v>
      </c>
      <c r="F14" s="5" t="n">
        <v>78</v>
      </c>
      <c r="G14" s="7" t="inlineStr">
        <is>
          <t>M10</t>
        </is>
      </c>
      <c r="H14" s="20" t="n">
        <v>1.7</v>
      </c>
      <c r="I14" s="7" t="n"/>
      <c r="J14" s="20" t="n"/>
      <c r="K14" s="7" t="inlineStr">
        <is>
          <t>M11</t>
        </is>
      </c>
      <c r="L14" s="7" t="n">
        <v>1</v>
      </c>
      <c r="M14" s="7" t="n"/>
      <c r="N14" s="7" t="n"/>
      <c r="O14" s="6">
        <f>IF(G14="","",IF(IFERROR(VLOOKUP(G14,Materialen!$A$2:$I$39,4,0),"")="plaat",Instellingen!$B$4,Instellingen!$B$3))</f>
        <v/>
      </c>
      <c r="P14" s="5">
        <f>ROUND(N(H14)*IFERROR(IF(VLOOKUP(G14,Materialen!$A$2:$I$39,9,0)="",0,VLOOKUP(G14,Materialen!$A$2:$I$39,9,0)),0)*(1+N(O14))+N(J14)*IFERROR(IF(VLOOKUP(I14,Materialen!$A$2:$I$39,9,0)="",0,VLOOKUP(I14,Materialen!$A$2:$I$39,9,0)),0)*(1+N(O14))+N(L14)*IFERROR(IF(VLOOKUP(K14,Materialen!$A$2:$I$39,9,0)="",0,VLOOKUP(K14,Materialen!$A$2:$I$39,9,0)),0)+N(N14)*IFERROR(IF(VLOOKUP(M14,Materialen!$A$2:$I$39,9,0)="",0,VLOOKUP(M14,Materialen!$A$2:$I$39,9,0)),0),2)</f>
        <v/>
      </c>
      <c r="Q14" s="5">
        <f>IF(G14="",0,IF(IFERROR(VLOOKUP(G14,Materialen!$A$2:$I$39,5,0),"N")="J",ROUND(N(H14)*(1+N(O14))*Instellingen!$B$8,2),0))</f>
        <v/>
      </c>
      <c r="R14" s="18" t="n"/>
      <c r="S14" s="5">
        <f>ROUND(N(R14)/60*Instellingen!$B$9,2)</f>
        <v/>
      </c>
      <c r="T14" s="14" t="n"/>
      <c r="U14" s="5">
        <f>P14+Q14+S14+N(T14)</f>
        <v/>
      </c>
      <c r="V14" s="5">
        <f>IF(AC14&lt;&gt;"OK","",F14-U14)</f>
        <v/>
      </c>
      <c r="W14" s="6">
        <f>IF(OR(F14=0,AC14&lt;&gt;"OK"),"",V14/F14)</f>
        <v/>
      </c>
      <c r="X14" s="5">
        <f>IF(N(H14)&gt;0,F14/H14,"")</f>
        <v/>
      </c>
      <c r="Y14" s="5">
        <f>IF(N(H14)&gt;0,IFERROR(IF(VLOOKUP(G14,Materialen!$A$2:$I$39,9,0)="",0,VLOOKUP(G14,Materialen!$A$2:$I$39,9,0)),0),"")</f>
        <v/>
      </c>
      <c r="Z14" s="5">
        <f>ROUND(E14*F14,2)</f>
        <v/>
      </c>
      <c r="AA14" s="5">
        <f>IF(AC14&lt;&gt;"OK","",ROUND(E14*U14,2))</f>
        <v/>
      </c>
      <c r="AB14" s="5">
        <f>IF(AC14&lt;&gt;"OK","",Z14-AA14)</f>
        <v/>
      </c>
      <c r="AC14" s="7">
        <f>IF((IF(G14="",0,IF(IFERROR(IF(VLOOKUP(G14,Materialen!$A$2:$I$39,9,0)="",0,VLOOKUP(G14,Materialen!$A$2:$I$39,9,0)),0)=0,1,0))+IF(I14="",0,IF(IFERROR(IF(VLOOKUP(I14,Materialen!$A$2:$I$39,9,0)="",0,VLOOKUP(I14,Materialen!$A$2:$I$39,9,0)),0)=0,1,0))+IF(K14="",0,IF(IFERROR(IF(VLOOKUP(K14,Materialen!$A$2:$I$39,9,0)="",0,VLOOKUP(K14,Materialen!$A$2:$I$39,9,0)),0)=0,1,0))+IF(M14="",0,IF(IFERROR(IF(VLOOKUP(M14,Materialen!$A$2:$I$39,9,0)="",0,VLOOKUP(M14,Materialen!$A$2:$I$39,9,0)),0)=0,1,0)))&gt;0,"aankoopprijs ontbreekt",IF(AND(G14="",K14="",N(T14)=0,N(R14)=0),"kost invullen (arbeid/overig)","OK"))</f>
        <v/>
      </c>
      <c r="AD14" s="7" t="inlineStr"/>
    </row>
    <row r="15">
      <c r="A15" s="7" t="n">
        <v>14</v>
      </c>
      <c r="B15" s="7" t="inlineStr">
        <is>
          <t>ROLLS UP</t>
        </is>
      </c>
      <c r="C15" s="7" t="inlineStr">
        <is>
          <t>Rolls up: L60 x H160 cm - Impression quadri recto - Sac de transport inclus</t>
        </is>
      </c>
      <c r="D15" s="7" t="inlineStr">
        <is>
          <t>pièce</t>
        </is>
      </c>
      <c r="E15" s="7" t="n">
        <v>10</v>
      </c>
      <c r="F15" s="5" t="n">
        <v>65</v>
      </c>
      <c r="G15" s="7" t="inlineStr">
        <is>
          <t>M10</t>
        </is>
      </c>
      <c r="H15" s="20" t="n">
        <v>0.96</v>
      </c>
      <c r="I15" s="7" t="n"/>
      <c r="J15" s="20" t="n"/>
      <c r="K15" s="7" t="inlineStr">
        <is>
          <t>M12</t>
        </is>
      </c>
      <c r="L15" s="7" t="n">
        <v>1</v>
      </c>
      <c r="M15" s="7" t="n"/>
      <c r="N15" s="7" t="n"/>
      <c r="O15" s="6">
        <f>IF(G15="","",IF(IFERROR(VLOOKUP(G15,Materialen!$A$2:$I$39,4,0),"")="plaat",Instellingen!$B$4,Instellingen!$B$3))</f>
        <v/>
      </c>
      <c r="P15" s="5">
        <f>ROUND(N(H15)*IFERROR(IF(VLOOKUP(G15,Materialen!$A$2:$I$39,9,0)="",0,VLOOKUP(G15,Materialen!$A$2:$I$39,9,0)),0)*(1+N(O15))+N(J15)*IFERROR(IF(VLOOKUP(I15,Materialen!$A$2:$I$39,9,0)="",0,VLOOKUP(I15,Materialen!$A$2:$I$39,9,0)),0)*(1+N(O15))+N(L15)*IFERROR(IF(VLOOKUP(K15,Materialen!$A$2:$I$39,9,0)="",0,VLOOKUP(K15,Materialen!$A$2:$I$39,9,0)),0)+N(N15)*IFERROR(IF(VLOOKUP(M15,Materialen!$A$2:$I$39,9,0)="",0,VLOOKUP(M15,Materialen!$A$2:$I$39,9,0)),0),2)</f>
        <v/>
      </c>
      <c r="Q15" s="5">
        <f>IF(G15="",0,IF(IFERROR(VLOOKUP(G15,Materialen!$A$2:$I$39,5,0),"N")="J",ROUND(N(H15)*(1+N(O15))*Instellingen!$B$8,2),0))</f>
        <v/>
      </c>
      <c r="R15" s="18" t="n"/>
      <c r="S15" s="5">
        <f>ROUND(N(R15)/60*Instellingen!$B$9,2)</f>
        <v/>
      </c>
      <c r="T15" s="14" t="n"/>
      <c r="U15" s="5">
        <f>P15+Q15+S15+N(T15)</f>
        <v/>
      </c>
      <c r="V15" s="5">
        <f>IF(AC15&lt;&gt;"OK","",F15-U15)</f>
        <v/>
      </c>
      <c r="W15" s="6">
        <f>IF(OR(F15=0,AC15&lt;&gt;"OK"),"",V15/F15)</f>
        <v/>
      </c>
      <c r="X15" s="5">
        <f>IF(N(H15)&gt;0,F15/H15,"")</f>
        <v/>
      </c>
      <c r="Y15" s="5">
        <f>IF(N(H15)&gt;0,IFERROR(IF(VLOOKUP(G15,Materialen!$A$2:$I$39,9,0)="",0,VLOOKUP(G15,Materialen!$A$2:$I$39,9,0)),0),"")</f>
        <v/>
      </c>
      <c r="Z15" s="5">
        <f>ROUND(E15*F15,2)</f>
        <v/>
      </c>
      <c r="AA15" s="5">
        <f>IF(AC15&lt;&gt;"OK","",ROUND(E15*U15,2))</f>
        <v/>
      </c>
      <c r="AB15" s="5">
        <f>IF(AC15&lt;&gt;"OK","",Z15-AA15)</f>
        <v/>
      </c>
      <c r="AC15" s="7">
        <f>IF((IF(G15="",0,IF(IFERROR(IF(VLOOKUP(G15,Materialen!$A$2:$I$39,9,0)="",0,VLOOKUP(G15,Materialen!$A$2:$I$39,9,0)),0)=0,1,0))+IF(I15="",0,IF(IFERROR(IF(VLOOKUP(I15,Materialen!$A$2:$I$39,9,0)="",0,VLOOKUP(I15,Materialen!$A$2:$I$39,9,0)),0)=0,1,0))+IF(K15="",0,IF(IFERROR(IF(VLOOKUP(K15,Materialen!$A$2:$I$39,9,0)="",0,VLOOKUP(K15,Materialen!$A$2:$I$39,9,0)),0)=0,1,0))+IF(M15="",0,IF(IFERROR(IF(VLOOKUP(M15,Materialen!$A$2:$I$39,9,0)="",0,VLOOKUP(M15,Materialen!$A$2:$I$39,9,0)),0)=0,1,0)))&gt;0,"aankoopprijs ontbreekt",IF(AND(G15="",K15="",N(T15)=0,N(R15)=0),"kost invullen (arbeid/overig)","OK"))</f>
        <v/>
      </c>
      <c r="AD15" s="7" t="inlineStr"/>
    </row>
    <row r="16">
      <c r="A16" s="7" t="n">
        <v>15</v>
      </c>
      <c r="B16" s="7" t="inlineStr">
        <is>
          <t>BANNIERE ENTREE ABATTOIRS</t>
        </is>
      </c>
      <c r="C16" s="7" t="inlineStr">
        <is>
          <t>Largeur : 75cm (pas de fausse coupe) X Hauteur : 160cm (= format avec ourlet à plat) auxquels on rajoute 10 cm de fausse coupe en haut et en bas et 1,5cm de couture en haut et en bas. Hauteur totale : 183 cm. Impression en quadrichromie</t>
        </is>
      </c>
      <c r="D16" s="7" t="inlineStr">
        <is>
          <t>pièce</t>
        </is>
      </c>
      <c r="E16" s="7" t="n">
        <v>10</v>
      </c>
      <c r="F16" s="5" t="n">
        <v>38</v>
      </c>
      <c r="G16" s="7" t="inlineStr">
        <is>
          <t>M02</t>
        </is>
      </c>
      <c r="H16" s="20" t="n">
        <v>1.3725</v>
      </c>
      <c r="I16" s="7" t="n"/>
      <c r="J16" s="20" t="n"/>
      <c r="K16" s="7" t="n"/>
      <c r="L16" s="7" t="n"/>
      <c r="M16" s="7" t="n"/>
      <c r="N16" s="7" t="n"/>
      <c r="O16" s="6">
        <f>IF(G16="","",IF(IFERROR(VLOOKUP(G16,Materialen!$A$2:$I$39,4,0),"")="plaat",Instellingen!$B$4,Instellingen!$B$3))</f>
        <v/>
      </c>
      <c r="P16" s="5">
        <f>ROUND(N(H16)*IFERROR(IF(VLOOKUP(G16,Materialen!$A$2:$I$39,9,0)="",0,VLOOKUP(G16,Materialen!$A$2:$I$39,9,0)),0)*(1+N(O16))+N(J16)*IFERROR(IF(VLOOKUP(I16,Materialen!$A$2:$I$39,9,0)="",0,VLOOKUP(I16,Materialen!$A$2:$I$39,9,0)),0)*(1+N(O16))+N(L16)*IFERROR(IF(VLOOKUP(K16,Materialen!$A$2:$I$39,9,0)="",0,VLOOKUP(K16,Materialen!$A$2:$I$39,9,0)),0)+N(N16)*IFERROR(IF(VLOOKUP(M16,Materialen!$A$2:$I$39,9,0)="",0,VLOOKUP(M16,Materialen!$A$2:$I$39,9,0)),0),2)</f>
        <v/>
      </c>
      <c r="Q16" s="5">
        <f>IF(G16="",0,IF(IFERROR(VLOOKUP(G16,Materialen!$A$2:$I$39,5,0),"N")="J",ROUND(N(H16)*(1+N(O16))*Instellingen!$B$8,2),0))</f>
        <v/>
      </c>
      <c r="R16" s="18" t="n"/>
      <c r="S16" s="5">
        <f>ROUND(N(R16)/60*Instellingen!$B$9,2)</f>
        <v/>
      </c>
      <c r="T16" s="14" t="n"/>
      <c r="U16" s="5">
        <f>P16+Q16+S16+N(T16)</f>
        <v/>
      </c>
      <c r="V16" s="5">
        <f>IF(AC16&lt;&gt;"OK","",F16-U16)</f>
        <v/>
      </c>
      <c r="W16" s="6">
        <f>IF(OR(F16=0,AC16&lt;&gt;"OK"),"",V16/F16)</f>
        <v/>
      </c>
      <c r="X16" s="5">
        <f>IF(N(H16)&gt;0,F16/H16,"")</f>
        <v/>
      </c>
      <c r="Y16" s="5">
        <f>IF(N(H16)&gt;0,IFERROR(IF(VLOOKUP(G16,Materialen!$A$2:$I$39,9,0)="",0,VLOOKUP(G16,Materialen!$A$2:$I$39,9,0)),0),"")</f>
        <v/>
      </c>
      <c r="Z16" s="5">
        <f>ROUND(E16*F16,2)</f>
        <v/>
      </c>
      <c r="AA16" s="5">
        <f>IF(AC16&lt;&gt;"OK","",ROUND(E16*U16,2))</f>
        <v/>
      </c>
      <c r="AB16" s="5">
        <f>IF(AC16&lt;&gt;"OK","",Z16-AA16)</f>
        <v/>
      </c>
      <c r="AC16" s="7">
        <f>IF((IF(G16="",0,IF(IFERROR(IF(VLOOKUP(G16,Materialen!$A$2:$I$39,9,0)="",0,VLOOKUP(G16,Materialen!$A$2:$I$39,9,0)),0)=0,1,0))+IF(I16="",0,IF(IFERROR(IF(VLOOKUP(I16,Materialen!$A$2:$I$39,9,0)="",0,VLOOKUP(I16,Materialen!$A$2:$I$39,9,0)),0)=0,1,0))+IF(K16="",0,IF(IFERROR(IF(VLOOKUP(K16,Materialen!$A$2:$I$39,9,0)="",0,VLOOKUP(K16,Materialen!$A$2:$I$39,9,0)),0)=0,1,0))+IF(M16="",0,IF(IFERROR(IF(VLOOKUP(M16,Materialen!$A$2:$I$39,9,0)="",0,VLOOKUP(M16,Materialen!$A$2:$I$39,9,0)),0)=0,1,0)))&gt;0,"aankoopprijs ontbreekt",IF(AND(G16="",K16="",N(T16)=0,N(R16)=0),"kost invullen (arbeid/overig)","OK"))</f>
        <v/>
      </c>
      <c r="AD16" s="7" t="inlineStr">
        <is>
          <t>Grammage niet in bestek: frontlit 450 aangenomen</t>
        </is>
      </c>
    </row>
    <row r="17">
      <c r="A17" s="7" t="n">
        <v>16</v>
      </c>
      <c r="B17" s="7" t="inlineStr">
        <is>
          <t>STICKERS</t>
        </is>
      </c>
      <c r="C17" s="7" t="inlineStr">
        <is>
          <t>Carré 30x30cm - découpe rectangle carré. Impression en quadrichromie</t>
        </is>
      </c>
      <c r="D17" s="7" t="inlineStr">
        <is>
          <t>pièce</t>
        </is>
      </c>
      <c r="E17" s="7" t="n">
        <v>20</v>
      </c>
      <c r="F17" s="5" t="n">
        <v>4.8</v>
      </c>
      <c r="G17" s="7" t="inlineStr">
        <is>
          <t>M15</t>
        </is>
      </c>
      <c r="H17" s="20" t="n">
        <v>0.09</v>
      </c>
      <c r="I17" s="7" t="n"/>
      <c r="J17" s="20" t="n"/>
      <c r="K17" s="7" t="n"/>
      <c r="L17" s="7" t="n"/>
      <c r="M17" s="7" t="n"/>
      <c r="N17" s="7" t="n"/>
      <c r="O17" s="6">
        <f>IF(G17="","",IF(IFERROR(VLOOKUP(G17,Materialen!$A$2:$I$39,4,0),"")="plaat",Instellingen!$B$4,Instellingen!$B$3))</f>
        <v/>
      </c>
      <c r="P17" s="5">
        <f>ROUND(N(H17)*IFERROR(IF(VLOOKUP(G17,Materialen!$A$2:$I$39,9,0)="",0,VLOOKUP(G17,Materialen!$A$2:$I$39,9,0)),0)*(1+N(O17))+N(J17)*IFERROR(IF(VLOOKUP(I17,Materialen!$A$2:$I$39,9,0)="",0,VLOOKUP(I17,Materialen!$A$2:$I$39,9,0)),0)*(1+N(O17))+N(L17)*IFERROR(IF(VLOOKUP(K17,Materialen!$A$2:$I$39,9,0)="",0,VLOOKUP(K17,Materialen!$A$2:$I$39,9,0)),0)+N(N17)*IFERROR(IF(VLOOKUP(M17,Materialen!$A$2:$I$39,9,0)="",0,VLOOKUP(M17,Materialen!$A$2:$I$39,9,0)),0),2)</f>
        <v/>
      </c>
      <c r="Q17" s="5">
        <f>IF(G17="",0,IF(IFERROR(VLOOKUP(G17,Materialen!$A$2:$I$39,5,0),"N")="J",ROUND(N(H17)*(1+N(O17))*Instellingen!$B$8,2),0))</f>
        <v/>
      </c>
      <c r="R17" s="18" t="n"/>
      <c r="S17" s="5">
        <f>ROUND(N(R17)/60*Instellingen!$B$9,2)</f>
        <v/>
      </c>
      <c r="T17" s="14" t="n"/>
      <c r="U17" s="5">
        <f>P17+Q17+S17+N(T17)</f>
        <v/>
      </c>
      <c r="V17" s="5">
        <f>IF(AC17&lt;&gt;"OK","",F17-U17)</f>
        <v/>
      </c>
      <c r="W17" s="6">
        <f>IF(OR(F17=0,AC17&lt;&gt;"OK"),"",V17/F17)</f>
        <v/>
      </c>
      <c r="X17" s="5">
        <f>IF(N(H17)&gt;0,F17/H17,"")</f>
        <v/>
      </c>
      <c r="Y17" s="5">
        <f>IF(N(H17)&gt;0,IFERROR(IF(VLOOKUP(G17,Materialen!$A$2:$I$39,9,0)="",0,VLOOKUP(G17,Materialen!$A$2:$I$39,9,0)),0),"")</f>
        <v/>
      </c>
      <c r="Z17" s="5">
        <f>ROUND(E17*F17,2)</f>
        <v/>
      </c>
      <c r="AA17" s="5">
        <f>IF(AC17&lt;&gt;"OK","",ROUND(E17*U17,2))</f>
        <v/>
      </c>
      <c r="AB17" s="5">
        <f>IF(AC17&lt;&gt;"OK","",Z17-AA17)</f>
        <v/>
      </c>
      <c r="AC17" s="7">
        <f>IF((IF(G17="",0,IF(IFERROR(IF(VLOOKUP(G17,Materialen!$A$2:$I$39,9,0)="",0,VLOOKUP(G17,Materialen!$A$2:$I$39,9,0)),0)=0,1,0))+IF(I17="",0,IF(IFERROR(IF(VLOOKUP(I17,Materialen!$A$2:$I$39,9,0)="",0,VLOOKUP(I17,Materialen!$A$2:$I$39,9,0)),0)=0,1,0))+IF(K17="",0,IF(IFERROR(IF(VLOOKUP(K17,Materialen!$A$2:$I$39,9,0)="",0,VLOOKUP(K17,Materialen!$A$2:$I$39,9,0)),0)=0,1,0))+IF(M17="",0,IF(IFERROR(IF(VLOOKUP(M17,Materialen!$A$2:$I$39,9,0)="",0,VLOOKUP(M17,Materialen!$A$2:$I$39,9,0)),0)=0,1,0)))&gt;0,"aankoopprijs ontbreekt",IF(AND(G17="",K17="",N(T17)=0,N(R17)=0),"kost invullen (arbeid/overig)","OK"))</f>
        <v/>
      </c>
      <c r="AD17" s="7" t="inlineStr"/>
    </row>
    <row r="18">
      <c r="A18" s="7" t="n">
        <v>17</v>
      </c>
      <c r="B18" s="7" t="inlineStr">
        <is>
          <t>STICKERS</t>
        </is>
      </c>
      <c r="C18" s="7" t="inlineStr">
        <is>
          <t>eletrostatique 15x20cm - quadrichromie miroir et blanc - support sur Vinyle Yupo Taco Jelly</t>
        </is>
      </c>
      <c r="D18" s="7" t="inlineStr">
        <is>
          <t>quantité : par 10</t>
        </is>
      </c>
      <c r="E18" s="7" t="n">
        <v>20</v>
      </c>
      <c r="F18" s="5" t="n">
        <v>18</v>
      </c>
      <c r="G18" s="7" t="inlineStr">
        <is>
          <t>M13</t>
        </is>
      </c>
      <c r="H18" s="20" t="n">
        <v>0.3</v>
      </c>
      <c r="I18" s="7" t="n"/>
      <c r="J18" s="20" t="n"/>
      <c r="K18" s="7" t="n"/>
      <c r="L18" s="7" t="n"/>
      <c r="M18" s="7" t="n"/>
      <c r="N18" s="7" t="n"/>
      <c r="O18" s="6">
        <f>IF(G18="","",IF(IFERROR(VLOOKUP(G18,Materialen!$A$2:$I$39,4,0),"")="plaat",Instellingen!$B$4,Instellingen!$B$3))</f>
        <v/>
      </c>
      <c r="P18" s="5">
        <f>ROUND(N(H18)*IFERROR(IF(VLOOKUP(G18,Materialen!$A$2:$I$39,9,0)="",0,VLOOKUP(G18,Materialen!$A$2:$I$39,9,0)),0)*(1+N(O18))+N(J18)*IFERROR(IF(VLOOKUP(I18,Materialen!$A$2:$I$39,9,0)="",0,VLOOKUP(I18,Materialen!$A$2:$I$39,9,0)),0)*(1+N(O18))+N(L18)*IFERROR(IF(VLOOKUP(K18,Materialen!$A$2:$I$39,9,0)="",0,VLOOKUP(K18,Materialen!$A$2:$I$39,9,0)),0)+N(N18)*IFERROR(IF(VLOOKUP(M18,Materialen!$A$2:$I$39,9,0)="",0,VLOOKUP(M18,Materialen!$A$2:$I$39,9,0)),0),2)</f>
        <v/>
      </c>
      <c r="Q18" s="5">
        <f>IF(G18="",0,IF(IFERROR(VLOOKUP(G18,Materialen!$A$2:$I$39,5,0),"N")="J",ROUND(N(H18)*(1+N(O18))*Instellingen!$B$8,2),0))</f>
        <v/>
      </c>
      <c r="R18" s="18" t="n"/>
      <c r="S18" s="5">
        <f>ROUND(N(R18)/60*Instellingen!$B$9,2)</f>
        <v/>
      </c>
      <c r="T18" s="14" t="n"/>
      <c r="U18" s="5">
        <f>P18+Q18+S18+N(T18)</f>
        <v/>
      </c>
      <c r="V18" s="5">
        <f>IF(AC18&lt;&gt;"OK","",F18-U18)</f>
        <v/>
      </c>
      <c r="W18" s="6">
        <f>IF(OR(F18=0,AC18&lt;&gt;"OK"),"",V18/F18)</f>
        <v/>
      </c>
      <c r="X18" s="5">
        <f>IF(N(H18)&gt;0,F18/H18,"")</f>
        <v/>
      </c>
      <c r="Y18" s="5">
        <f>IF(N(H18)&gt;0,IFERROR(IF(VLOOKUP(G18,Materialen!$A$2:$I$39,9,0)="",0,VLOOKUP(G18,Materialen!$A$2:$I$39,9,0)),0),"")</f>
        <v/>
      </c>
      <c r="Z18" s="5">
        <f>ROUND(E18*F18,2)</f>
        <v/>
      </c>
      <c r="AA18" s="5">
        <f>IF(AC18&lt;&gt;"OK","",ROUND(E18*U18,2))</f>
        <v/>
      </c>
      <c r="AB18" s="5">
        <f>IF(AC18&lt;&gt;"OK","",Z18-AA18)</f>
        <v/>
      </c>
      <c r="AC18" s="7">
        <f>IF((IF(G18="",0,IF(IFERROR(IF(VLOOKUP(G18,Materialen!$A$2:$I$39,9,0)="",0,VLOOKUP(G18,Materialen!$A$2:$I$39,9,0)),0)=0,1,0))+IF(I18="",0,IF(IFERROR(IF(VLOOKUP(I18,Materialen!$A$2:$I$39,9,0)="",0,VLOOKUP(I18,Materialen!$A$2:$I$39,9,0)),0)=0,1,0))+IF(K18="",0,IF(IFERROR(IF(VLOOKUP(K18,Materialen!$A$2:$I$39,9,0)="",0,VLOOKUP(K18,Materialen!$A$2:$I$39,9,0)),0)=0,1,0))+IF(M18="",0,IF(IFERROR(IF(VLOOKUP(M18,Materialen!$A$2:$I$39,9,0)="",0,VLOOKUP(M18,Materialen!$A$2:$I$39,9,0)),0)=0,1,0)))&gt;0,"aankoopprijs ontbreekt",IF(AND(G18="",K18="",N(T18)=0,N(R18)=0),"kost invullen (arbeid/overig)","OK"))</f>
        <v/>
      </c>
      <c r="AD18" s="7" t="inlineStr">
        <is>
          <t>Eenheid = 10 stuks</t>
        </is>
      </c>
    </row>
    <row r="19">
      <c r="A19" s="7" t="n">
        <v>18</v>
      </c>
      <c r="B19" s="7" t="inlineStr">
        <is>
          <t>STICKERS</t>
        </is>
      </c>
      <c r="C19" s="7" t="inlineStr">
        <is>
          <t>15cm diamètre - quadrichromie miroir + blanc - polymère transparent brillant</t>
        </is>
      </c>
      <c r="D19" s="7" t="inlineStr">
        <is>
          <t>quantité : par 10</t>
        </is>
      </c>
      <c r="E19" s="7" t="n">
        <v>20</v>
      </c>
      <c r="F19" s="5" t="n">
        <v>16</v>
      </c>
      <c r="G19" s="7" t="inlineStr">
        <is>
          <t>M14</t>
        </is>
      </c>
      <c r="H19" s="20" t="n">
        <v>0.177</v>
      </c>
      <c r="I19" s="7" t="n"/>
      <c r="J19" s="20" t="n"/>
      <c r="K19" s="7" t="n"/>
      <c r="L19" s="7" t="n"/>
      <c r="M19" s="7" t="n"/>
      <c r="N19" s="7" t="n"/>
      <c r="O19" s="6">
        <f>IF(G19="","",IF(IFERROR(VLOOKUP(G19,Materialen!$A$2:$I$39,4,0),"")="plaat",Instellingen!$B$4,Instellingen!$B$3))</f>
        <v/>
      </c>
      <c r="P19" s="5">
        <f>ROUND(N(H19)*IFERROR(IF(VLOOKUP(G19,Materialen!$A$2:$I$39,9,0)="",0,VLOOKUP(G19,Materialen!$A$2:$I$39,9,0)),0)*(1+N(O19))+N(J19)*IFERROR(IF(VLOOKUP(I19,Materialen!$A$2:$I$39,9,0)="",0,VLOOKUP(I19,Materialen!$A$2:$I$39,9,0)),0)*(1+N(O19))+N(L19)*IFERROR(IF(VLOOKUP(K19,Materialen!$A$2:$I$39,9,0)="",0,VLOOKUP(K19,Materialen!$A$2:$I$39,9,0)),0)+N(N19)*IFERROR(IF(VLOOKUP(M19,Materialen!$A$2:$I$39,9,0)="",0,VLOOKUP(M19,Materialen!$A$2:$I$39,9,0)),0),2)</f>
        <v/>
      </c>
      <c r="Q19" s="5">
        <f>IF(G19="",0,IF(IFERROR(VLOOKUP(G19,Materialen!$A$2:$I$39,5,0),"N")="J",ROUND(N(H19)*(1+N(O19))*Instellingen!$B$8,2),0))</f>
        <v/>
      </c>
      <c r="R19" s="18" t="n"/>
      <c r="S19" s="5">
        <f>ROUND(N(R19)/60*Instellingen!$B$9,2)</f>
        <v/>
      </c>
      <c r="T19" s="14" t="n"/>
      <c r="U19" s="5">
        <f>P19+Q19+S19+N(T19)</f>
        <v/>
      </c>
      <c r="V19" s="5">
        <f>IF(AC19&lt;&gt;"OK","",F19-U19)</f>
        <v/>
      </c>
      <c r="W19" s="6">
        <f>IF(OR(F19=0,AC19&lt;&gt;"OK"),"",V19/F19)</f>
        <v/>
      </c>
      <c r="X19" s="5">
        <f>IF(N(H19)&gt;0,F19/H19,"")</f>
        <v/>
      </c>
      <c r="Y19" s="5">
        <f>IF(N(H19)&gt;0,IFERROR(IF(VLOOKUP(G19,Materialen!$A$2:$I$39,9,0)="",0,VLOOKUP(G19,Materialen!$A$2:$I$39,9,0)),0),"")</f>
        <v/>
      </c>
      <c r="Z19" s="5">
        <f>ROUND(E19*F19,2)</f>
        <v/>
      </c>
      <c r="AA19" s="5">
        <f>IF(AC19&lt;&gt;"OK","",ROUND(E19*U19,2))</f>
        <v/>
      </c>
      <c r="AB19" s="5">
        <f>IF(AC19&lt;&gt;"OK","",Z19-AA19)</f>
        <v/>
      </c>
      <c r="AC19" s="7">
        <f>IF((IF(G19="",0,IF(IFERROR(IF(VLOOKUP(G19,Materialen!$A$2:$I$39,9,0)="",0,VLOOKUP(G19,Materialen!$A$2:$I$39,9,0)),0)=0,1,0))+IF(I19="",0,IF(IFERROR(IF(VLOOKUP(I19,Materialen!$A$2:$I$39,9,0)="",0,VLOOKUP(I19,Materialen!$A$2:$I$39,9,0)),0)=0,1,0))+IF(K19="",0,IF(IFERROR(IF(VLOOKUP(K19,Materialen!$A$2:$I$39,9,0)="",0,VLOOKUP(K19,Materialen!$A$2:$I$39,9,0)),0)=0,1,0))+IF(M19="",0,IF(IFERROR(IF(VLOOKUP(M19,Materialen!$A$2:$I$39,9,0)="",0,VLOOKUP(M19,Materialen!$A$2:$I$39,9,0)),0)=0,1,0)))&gt;0,"aankoopprijs ontbreekt",IF(AND(G19="",K19="",N(T19)=0,N(R19)=0),"kost invullen (arbeid/overig)","OK"))</f>
        <v/>
      </c>
      <c r="AD19" s="7" t="inlineStr">
        <is>
          <t>Eenheid = 10 stuks; wit onderdruk = extra inkt</t>
        </is>
      </c>
    </row>
    <row r="20">
      <c r="A20" s="7" t="n">
        <v>19</v>
      </c>
      <c r="B20" s="7" t="inlineStr">
        <is>
          <t>STICKERS</t>
        </is>
      </c>
      <c r="C20" s="7" t="inlineStr">
        <is>
          <t>Impression digitale quadri sur autocollant véhicule micro perforé pour vitre</t>
        </is>
      </c>
      <c r="D20" s="7" t="inlineStr">
        <is>
          <t>m²</t>
        </is>
      </c>
      <c r="E20" s="7" t="n">
        <v>20</v>
      </c>
      <c r="F20" s="5" t="n">
        <v>38</v>
      </c>
      <c r="G20" s="7" t="inlineStr">
        <is>
          <t>M16</t>
        </is>
      </c>
      <c r="H20" s="20" t="n">
        <v>1</v>
      </c>
      <c r="I20" s="7" t="n"/>
      <c r="J20" s="20" t="n"/>
      <c r="K20" s="7" t="n"/>
      <c r="L20" s="7" t="n"/>
      <c r="M20" s="7" t="n"/>
      <c r="N20" s="7" t="n"/>
      <c r="O20" s="6">
        <f>IF(G20="","",IF(IFERROR(VLOOKUP(G20,Materialen!$A$2:$I$39,4,0),"")="plaat",Instellingen!$B$4,Instellingen!$B$3))</f>
        <v/>
      </c>
      <c r="P20" s="5">
        <f>ROUND(N(H20)*IFERROR(IF(VLOOKUP(G20,Materialen!$A$2:$I$39,9,0)="",0,VLOOKUP(G20,Materialen!$A$2:$I$39,9,0)),0)*(1+N(O20))+N(J20)*IFERROR(IF(VLOOKUP(I20,Materialen!$A$2:$I$39,9,0)="",0,VLOOKUP(I20,Materialen!$A$2:$I$39,9,0)),0)*(1+N(O20))+N(L20)*IFERROR(IF(VLOOKUP(K20,Materialen!$A$2:$I$39,9,0)="",0,VLOOKUP(K20,Materialen!$A$2:$I$39,9,0)),0)+N(N20)*IFERROR(IF(VLOOKUP(M20,Materialen!$A$2:$I$39,9,0)="",0,VLOOKUP(M20,Materialen!$A$2:$I$39,9,0)),0),2)</f>
        <v/>
      </c>
      <c r="Q20" s="5">
        <f>IF(G20="",0,IF(IFERROR(VLOOKUP(G20,Materialen!$A$2:$I$39,5,0),"N")="J",ROUND(N(H20)*(1+N(O20))*Instellingen!$B$8,2),0))</f>
        <v/>
      </c>
      <c r="R20" s="18" t="n"/>
      <c r="S20" s="5">
        <f>ROUND(N(R20)/60*Instellingen!$B$9,2)</f>
        <v/>
      </c>
      <c r="T20" s="14" t="n"/>
      <c r="U20" s="5">
        <f>P20+Q20+S20+N(T20)</f>
        <v/>
      </c>
      <c r="V20" s="5">
        <f>IF(AC20&lt;&gt;"OK","",F20-U20)</f>
        <v/>
      </c>
      <c r="W20" s="6">
        <f>IF(OR(F20=0,AC20&lt;&gt;"OK"),"",V20/F20)</f>
        <v/>
      </c>
      <c r="X20" s="5">
        <f>IF(N(H20)&gt;0,F20/H20,"")</f>
        <v/>
      </c>
      <c r="Y20" s="5">
        <f>IF(N(H20)&gt;0,IFERROR(IF(VLOOKUP(G20,Materialen!$A$2:$I$39,9,0)="",0,VLOOKUP(G20,Materialen!$A$2:$I$39,9,0)),0),"")</f>
        <v/>
      </c>
      <c r="Z20" s="5">
        <f>ROUND(E20*F20,2)</f>
        <v/>
      </c>
      <c r="AA20" s="5">
        <f>IF(AC20&lt;&gt;"OK","",ROUND(E20*U20,2))</f>
        <v/>
      </c>
      <c r="AB20" s="5">
        <f>IF(AC20&lt;&gt;"OK","",Z20-AA20)</f>
        <v/>
      </c>
      <c r="AC20" s="7">
        <f>IF((IF(G20="",0,IF(IFERROR(IF(VLOOKUP(G20,Materialen!$A$2:$I$39,9,0)="",0,VLOOKUP(G20,Materialen!$A$2:$I$39,9,0)),0)=0,1,0))+IF(I20="",0,IF(IFERROR(IF(VLOOKUP(I20,Materialen!$A$2:$I$39,9,0)="",0,VLOOKUP(I20,Materialen!$A$2:$I$39,9,0)),0)=0,1,0))+IF(K20="",0,IF(IFERROR(IF(VLOOKUP(K20,Materialen!$A$2:$I$39,9,0)="",0,VLOOKUP(K20,Materialen!$A$2:$I$39,9,0)),0)=0,1,0))+IF(M20="",0,IF(IFERROR(IF(VLOOKUP(M20,Materialen!$A$2:$I$39,9,0)="",0,VLOOKUP(M20,Materialen!$A$2:$I$39,9,0)),0)=0,1,0)))&gt;0,"aankoopprijs ontbreekt",IF(AND(G20="",K20="",N(T20)=0,N(R20)=0),"kost invullen (arbeid/overig)","OK"))</f>
        <v/>
      </c>
      <c r="AD20" s="7" t="inlineStr"/>
    </row>
    <row r="21">
      <c r="A21" s="7" t="n">
        <v>20</v>
      </c>
      <c r="B21" s="7" t="inlineStr">
        <is>
          <t>STICKERS</t>
        </is>
      </c>
      <c r="C21" s="7" t="inlineStr">
        <is>
          <t>Impression digitale quadri sur autocollant véhicule pour carrosserie</t>
        </is>
      </c>
      <c r="D21" s="7" t="inlineStr">
        <is>
          <t>m²</t>
        </is>
      </c>
      <c r="E21" s="7" t="n">
        <v>10</v>
      </c>
      <c r="F21" s="5" t="n">
        <v>36</v>
      </c>
      <c r="G21" s="7" t="inlineStr">
        <is>
          <t>M17</t>
        </is>
      </c>
      <c r="H21" s="20" t="n">
        <v>1</v>
      </c>
      <c r="I21" s="7" t="n"/>
      <c r="J21" s="20" t="n"/>
      <c r="K21" s="7" t="n"/>
      <c r="L21" s="7" t="n"/>
      <c r="M21" s="7" t="n"/>
      <c r="N21" s="7" t="n"/>
      <c r="O21" s="6">
        <f>IF(G21="","",IF(IFERROR(VLOOKUP(G21,Materialen!$A$2:$I$39,4,0),"")="plaat",Instellingen!$B$4,Instellingen!$B$3))</f>
        <v/>
      </c>
      <c r="P21" s="5">
        <f>ROUND(N(H21)*IFERROR(IF(VLOOKUP(G21,Materialen!$A$2:$I$39,9,0)="",0,VLOOKUP(G21,Materialen!$A$2:$I$39,9,0)),0)*(1+N(O21))+N(J21)*IFERROR(IF(VLOOKUP(I21,Materialen!$A$2:$I$39,9,0)="",0,VLOOKUP(I21,Materialen!$A$2:$I$39,9,0)),0)*(1+N(O21))+N(L21)*IFERROR(IF(VLOOKUP(K21,Materialen!$A$2:$I$39,9,0)="",0,VLOOKUP(K21,Materialen!$A$2:$I$39,9,0)),0)+N(N21)*IFERROR(IF(VLOOKUP(M21,Materialen!$A$2:$I$39,9,0)="",0,VLOOKUP(M21,Materialen!$A$2:$I$39,9,0)),0),2)</f>
        <v/>
      </c>
      <c r="Q21" s="5">
        <f>IF(G21="",0,IF(IFERROR(VLOOKUP(G21,Materialen!$A$2:$I$39,5,0),"N")="J",ROUND(N(H21)*(1+N(O21))*Instellingen!$B$8,2),0))</f>
        <v/>
      </c>
      <c r="R21" s="18" t="n"/>
      <c r="S21" s="5">
        <f>ROUND(N(R21)/60*Instellingen!$B$9,2)</f>
        <v/>
      </c>
      <c r="T21" s="14" t="n"/>
      <c r="U21" s="5">
        <f>P21+Q21+S21+N(T21)</f>
        <v/>
      </c>
      <c r="V21" s="5">
        <f>IF(AC21&lt;&gt;"OK","",F21-U21)</f>
        <v/>
      </c>
      <c r="W21" s="6">
        <f>IF(OR(F21=0,AC21&lt;&gt;"OK"),"",V21/F21)</f>
        <v/>
      </c>
      <c r="X21" s="5">
        <f>IF(N(H21)&gt;0,F21/H21,"")</f>
        <v/>
      </c>
      <c r="Y21" s="5">
        <f>IF(N(H21)&gt;0,IFERROR(IF(VLOOKUP(G21,Materialen!$A$2:$I$39,9,0)="",0,VLOOKUP(G21,Materialen!$A$2:$I$39,9,0)),0),"")</f>
        <v/>
      </c>
      <c r="Z21" s="5">
        <f>ROUND(E21*F21,2)</f>
        <v/>
      </c>
      <c r="AA21" s="5">
        <f>IF(AC21&lt;&gt;"OK","",ROUND(E21*U21,2))</f>
        <v/>
      </c>
      <c r="AB21" s="5">
        <f>IF(AC21&lt;&gt;"OK","",Z21-AA21)</f>
        <v/>
      </c>
      <c r="AC21" s="7">
        <f>IF((IF(G21="",0,IF(IFERROR(IF(VLOOKUP(G21,Materialen!$A$2:$I$39,9,0)="",0,VLOOKUP(G21,Materialen!$A$2:$I$39,9,0)),0)=0,1,0))+IF(I21="",0,IF(IFERROR(IF(VLOOKUP(I21,Materialen!$A$2:$I$39,9,0)="",0,VLOOKUP(I21,Materialen!$A$2:$I$39,9,0)),0)=0,1,0))+IF(K21="",0,IF(IFERROR(IF(VLOOKUP(K21,Materialen!$A$2:$I$39,9,0)="",0,VLOOKUP(K21,Materialen!$A$2:$I$39,9,0)),0)=0,1,0))+IF(M21="",0,IF(IFERROR(IF(VLOOKUP(M21,Materialen!$A$2:$I$39,9,0)="",0,VLOOKUP(M21,Materialen!$A$2:$I$39,9,0)),0)=0,1,0)))&gt;0,"aankoopprijs ontbreekt",IF(AND(G21="",K21="",N(T21)=0,N(R21)=0),"kost invullen (arbeid/overig)","OK"))</f>
        <v/>
      </c>
      <c r="AD21" s="7" t="inlineStr"/>
    </row>
    <row r="22">
      <c r="A22" s="7" t="n">
        <v>21</v>
      </c>
      <c r="B22" s="7" t="inlineStr">
        <is>
          <t>STICKERS</t>
        </is>
      </c>
      <c r="C22" s="7" t="inlineStr">
        <is>
          <t>Impression digitale quadri sur vinyle autocollant polymère pour extérieur (y compris découpe rectangle)</t>
        </is>
      </c>
      <c r="D22" s="7" t="inlineStr">
        <is>
          <t>m²</t>
        </is>
      </c>
      <c r="E22" s="7" t="n">
        <v>30</v>
      </c>
      <c r="F22" s="5" t="n">
        <v>32</v>
      </c>
      <c r="G22" s="7" t="inlineStr">
        <is>
          <t>M18</t>
        </is>
      </c>
      <c r="H22" s="20" t="n">
        <v>1</v>
      </c>
      <c r="I22" s="7" t="n"/>
      <c r="J22" s="20" t="n"/>
      <c r="K22" s="7" t="n"/>
      <c r="L22" s="7" t="n"/>
      <c r="M22" s="7" t="n"/>
      <c r="N22" s="7" t="n"/>
      <c r="O22" s="6">
        <f>IF(G22="","",IF(IFERROR(VLOOKUP(G22,Materialen!$A$2:$I$39,4,0),"")="plaat",Instellingen!$B$4,Instellingen!$B$3))</f>
        <v/>
      </c>
      <c r="P22" s="5">
        <f>ROUND(N(H22)*IFERROR(IF(VLOOKUP(G22,Materialen!$A$2:$I$39,9,0)="",0,VLOOKUP(G22,Materialen!$A$2:$I$39,9,0)),0)*(1+N(O22))+N(J22)*IFERROR(IF(VLOOKUP(I22,Materialen!$A$2:$I$39,9,0)="",0,VLOOKUP(I22,Materialen!$A$2:$I$39,9,0)),0)*(1+N(O22))+N(L22)*IFERROR(IF(VLOOKUP(K22,Materialen!$A$2:$I$39,9,0)="",0,VLOOKUP(K22,Materialen!$A$2:$I$39,9,0)),0)+N(N22)*IFERROR(IF(VLOOKUP(M22,Materialen!$A$2:$I$39,9,0)="",0,VLOOKUP(M22,Materialen!$A$2:$I$39,9,0)),0),2)</f>
        <v/>
      </c>
      <c r="Q22" s="5">
        <f>IF(G22="",0,IF(IFERROR(VLOOKUP(G22,Materialen!$A$2:$I$39,5,0),"N")="J",ROUND(N(H22)*(1+N(O22))*Instellingen!$B$8,2),0))</f>
        <v/>
      </c>
      <c r="R22" s="18" t="n"/>
      <c r="S22" s="5">
        <f>ROUND(N(R22)/60*Instellingen!$B$9,2)</f>
        <v/>
      </c>
      <c r="T22" s="14" t="n"/>
      <c r="U22" s="5">
        <f>P22+Q22+S22+N(T22)</f>
        <v/>
      </c>
      <c r="V22" s="5">
        <f>IF(AC22&lt;&gt;"OK","",F22-U22)</f>
        <v/>
      </c>
      <c r="W22" s="6">
        <f>IF(OR(F22=0,AC22&lt;&gt;"OK"),"",V22/F22)</f>
        <v/>
      </c>
      <c r="X22" s="5">
        <f>IF(N(H22)&gt;0,F22/H22,"")</f>
        <v/>
      </c>
      <c r="Y22" s="5">
        <f>IF(N(H22)&gt;0,IFERROR(IF(VLOOKUP(G22,Materialen!$A$2:$I$39,9,0)="",0,VLOOKUP(G22,Materialen!$A$2:$I$39,9,0)),0),"")</f>
        <v/>
      </c>
      <c r="Z22" s="5">
        <f>ROUND(E22*F22,2)</f>
        <v/>
      </c>
      <c r="AA22" s="5">
        <f>IF(AC22&lt;&gt;"OK","",ROUND(E22*U22,2))</f>
        <v/>
      </c>
      <c r="AB22" s="5">
        <f>IF(AC22&lt;&gt;"OK","",Z22-AA22)</f>
        <v/>
      </c>
      <c r="AC22" s="7">
        <f>IF((IF(G22="",0,IF(IFERROR(IF(VLOOKUP(G22,Materialen!$A$2:$I$39,9,0)="",0,VLOOKUP(G22,Materialen!$A$2:$I$39,9,0)),0)=0,1,0))+IF(I22="",0,IF(IFERROR(IF(VLOOKUP(I22,Materialen!$A$2:$I$39,9,0)="",0,VLOOKUP(I22,Materialen!$A$2:$I$39,9,0)),0)=0,1,0))+IF(K22="",0,IF(IFERROR(IF(VLOOKUP(K22,Materialen!$A$2:$I$39,9,0)="",0,VLOOKUP(K22,Materialen!$A$2:$I$39,9,0)),0)=0,1,0))+IF(M22="",0,IF(IFERROR(IF(VLOOKUP(M22,Materialen!$A$2:$I$39,9,0)="",0,VLOOKUP(M22,Materialen!$A$2:$I$39,9,0)),0)=0,1,0)))&gt;0,"aankoopprijs ontbreekt",IF(AND(G22="",K22="",N(T22)=0,N(R22)=0),"kost invullen (arbeid/overig)","OK"))</f>
        <v/>
      </c>
      <c r="AD22" s="7" t="inlineStr"/>
    </row>
    <row r="23">
      <c r="A23" s="7" t="n">
        <v>22</v>
      </c>
      <c r="B23" s="7" t="inlineStr">
        <is>
          <t>STICKERS</t>
        </is>
      </c>
      <c r="C23" s="7" t="inlineStr">
        <is>
          <t>Vinyle autocollant pour pose extérieure sur vitrine carré 30x30 cm ou rond 30 cm diamètre impression quadri Quantité : par 10</t>
        </is>
      </c>
      <c r="D23" s="7" t="inlineStr">
        <is>
          <t>pièce</t>
        </is>
      </c>
      <c r="E23" s="7" t="n">
        <v>30</v>
      </c>
      <c r="F23" s="5" t="n">
        <v>48</v>
      </c>
      <c r="G23" s="7" t="inlineStr">
        <is>
          <t>M15</t>
        </is>
      </c>
      <c r="H23" s="20" t="n">
        <v>0.9</v>
      </c>
      <c r="I23" s="7" t="n"/>
      <c r="J23" s="20" t="n"/>
      <c r="K23" s="7" t="n"/>
      <c r="L23" s="7" t="n"/>
      <c r="M23" s="7" t="n"/>
      <c r="N23" s="7" t="n"/>
      <c r="O23" s="6">
        <f>IF(G23="","",IF(IFERROR(VLOOKUP(G23,Materialen!$A$2:$I$39,4,0),"")="plaat",Instellingen!$B$4,Instellingen!$B$3))</f>
        <v/>
      </c>
      <c r="P23" s="5">
        <f>ROUND(N(H23)*IFERROR(IF(VLOOKUP(G23,Materialen!$A$2:$I$39,9,0)="",0,VLOOKUP(G23,Materialen!$A$2:$I$39,9,0)),0)*(1+N(O23))+N(J23)*IFERROR(IF(VLOOKUP(I23,Materialen!$A$2:$I$39,9,0)="",0,VLOOKUP(I23,Materialen!$A$2:$I$39,9,0)),0)*(1+N(O23))+N(L23)*IFERROR(IF(VLOOKUP(K23,Materialen!$A$2:$I$39,9,0)="",0,VLOOKUP(K23,Materialen!$A$2:$I$39,9,0)),0)+N(N23)*IFERROR(IF(VLOOKUP(M23,Materialen!$A$2:$I$39,9,0)="",0,VLOOKUP(M23,Materialen!$A$2:$I$39,9,0)),0),2)</f>
        <v/>
      </c>
      <c r="Q23" s="5">
        <f>IF(G23="",0,IF(IFERROR(VLOOKUP(G23,Materialen!$A$2:$I$39,5,0),"N")="J",ROUND(N(H23)*(1+N(O23))*Instellingen!$B$8,2),0))</f>
        <v/>
      </c>
      <c r="R23" s="18" t="n"/>
      <c r="S23" s="5">
        <f>ROUND(N(R23)/60*Instellingen!$B$9,2)</f>
        <v/>
      </c>
      <c r="T23" s="14" t="n"/>
      <c r="U23" s="5">
        <f>P23+Q23+S23+N(T23)</f>
        <v/>
      </c>
      <c r="V23" s="5">
        <f>IF(AC23&lt;&gt;"OK","",F23-U23)</f>
        <v/>
      </c>
      <c r="W23" s="6">
        <f>IF(OR(F23=0,AC23&lt;&gt;"OK"),"",V23/F23)</f>
        <v/>
      </c>
      <c r="X23" s="5">
        <f>IF(N(H23)&gt;0,F23/H23,"")</f>
        <v/>
      </c>
      <c r="Y23" s="5">
        <f>IF(N(H23)&gt;0,IFERROR(IF(VLOOKUP(G23,Materialen!$A$2:$I$39,9,0)="",0,VLOOKUP(G23,Materialen!$A$2:$I$39,9,0)),0),"")</f>
        <v/>
      </c>
      <c r="Z23" s="5">
        <f>ROUND(E23*F23,2)</f>
        <v/>
      </c>
      <c r="AA23" s="5">
        <f>IF(AC23&lt;&gt;"OK","",ROUND(E23*U23,2))</f>
        <v/>
      </c>
      <c r="AB23" s="5">
        <f>IF(AC23&lt;&gt;"OK","",Z23-AA23)</f>
        <v/>
      </c>
      <c r="AC23" s="7">
        <f>IF((IF(G23="",0,IF(IFERROR(IF(VLOOKUP(G23,Materialen!$A$2:$I$39,9,0)="",0,VLOOKUP(G23,Materialen!$A$2:$I$39,9,0)),0)=0,1,0))+IF(I23="",0,IF(IFERROR(IF(VLOOKUP(I23,Materialen!$A$2:$I$39,9,0)="",0,VLOOKUP(I23,Materialen!$A$2:$I$39,9,0)),0)=0,1,0))+IF(K23="",0,IF(IFERROR(IF(VLOOKUP(K23,Materialen!$A$2:$I$39,9,0)="",0,VLOOKUP(K23,Materialen!$A$2:$I$39,9,0)),0)=0,1,0))+IF(M23="",0,IF(IFERROR(IF(VLOOKUP(M23,Materialen!$A$2:$I$39,9,0)="",0,VLOOKUP(M23,Materialen!$A$2:$I$39,9,0)),0)=0,1,0)))&gt;0,"aankoopprijs ontbreekt",IF(AND(G23="",K23="",N(T23)=0,N(R23)=0),"kost invullen (arbeid/overig)","OK"))</f>
        <v/>
      </c>
      <c r="AD23" s="7" t="inlineStr">
        <is>
          <t>Geprijsd per 10 stuks (zie offerte) – te bevestigen</t>
        </is>
      </c>
    </row>
    <row r="24">
      <c r="A24" s="7" t="n">
        <v>23</v>
      </c>
      <c r="B24" s="7" t="inlineStr">
        <is>
          <t>STICKERS</t>
        </is>
      </c>
      <c r="C24" s="7" t="inlineStr">
        <is>
          <t>Stickers Totem : format 84x199cm - adhésif monomère mat pour le sol - quantité : par 10</t>
        </is>
      </c>
      <c r="D24" s="7" t="inlineStr">
        <is>
          <t>pièce</t>
        </is>
      </c>
      <c r="E24" s="7" t="n">
        <v>45</v>
      </c>
      <c r="F24" s="5" t="n">
        <v>75</v>
      </c>
      <c r="G24" s="7" t="inlineStr">
        <is>
          <t>M15</t>
        </is>
      </c>
      <c r="H24" s="20" t="n">
        <v>1.67</v>
      </c>
      <c r="I24" s="7" t="inlineStr">
        <is>
          <t>M19</t>
        </is>
      </c>
      <c r="J24" s="20" t="n">
        <v>1.67</v>
      </c>
      <c r="K24" s="7" t="n"/>
      <c r="L24" s="7" t="n"/>
      <c r="M24" s="7" t="n"/>
      <c r="N24" s="7" t="n"/>
      <c r="O24" s="6">
        <f>IF(G24="","",IF(IFERROR(VLOOKUP(G24,Materialen!$A$2:$I$39,4,0),"")="plaat",Instellingen!$B$4,Instellingen!$B$3))</f>
        <v/>
      </c>
      <c r="P24" s="5">
        <f>ROUND(N(H24)*IFERROR(IF(VLOOKUP(G24,Materialen!$A$2:$I$39,9,0)="",0,VLOOKUP(G24,Materialen!$A$2:$I$39,9,0)),0)*(1+N(O24))+N(J24)*IFERROR(IF(VLOOKUP(I24,Materialen!$A$2:$I$39,9,0)="",0,VLOOKUP(I24,Materialen!$A$2:$I$39,9,0)),0)*(1+N(O24))+N(L24)*IFERROR(IF(VLOOKUP(K24,Materialen!$A$2:$I$39,9,0)="",0,VLOOKUP(K24,Materialen!$A$2:$I$39,9,0)),0)+N(N24)*IFERROR(IF(VLOOKUP(M24,Materialen!$A$2:$I$39,9,0)="",0,VLOOKUP(M24,Materialen!$A$2:$I$39,9,0)),0),2)</f>
        <v/>
      </c>
      <c r="Q24" s="5">
        <f>IF(G24="",0,IF(IFERROR(VLOOKUP(G24,Materialen!$A$2:$I$39,5,0),"N")="J",ROUND(N(H24)*(1+N(O24))*Instellingen!$B$8,2),0))</f>
        <v/>
      </c>
      <c r="R24" s="18" t="n"/>
      <c r="S24" s="5">
        <f>ROUND(N(R24)/60*Instellingen!$B$9,2)</f>
        <v/>
      </c>
      <c r="T24" s="14" t="n"/>
      <c r="U24" s="5">
        <f>P24+Q24+S24+N(T24)</f>
        <v/>
      </c>
      <c r="V24" s="5">
        <f>IF(AC24&lt;&gt;"OK","",F24-U24)</f>
        <v/>
      </c>
      <c r="W24" s="6">
        <f>IF(OR(F24=0,AC24&lt;&gt;"OK"),"",V24/F24)</f>
        <v/>
      </c>
      <c r="X24" s="5">
        <f>IF(N(H24)&gt;0,F24/H24,"")</f>
        <v/>
      </c>
      <c r="Y24" s="5">
        <f>IF(N(H24)&gt;0,IFERROR(IF(VLOOKUP(G24,Materialen!$A$2:$I$39,9,0)="",0,VLOOKUP(G24,Materialen!$A$2:$I$39,9,0)),0),"")</f>
        <v/>
      </c>
      <c r="Z24" s="5">
        <f>ROUND(E24*F24,2)</f>
        <v/>
      </c>
      <c r="AA24" s="5">
        <f>IF(AC24&lt;&gt;"OK","",ROUND(E24*U24,2))</f>
        <v/>
      </c>
      <c r="AB24" s="5">
        <f>IF(AC24&lt;&gt;"OK","",Z24-AA24)</f>
        <v/>
      </c>
      <c r="AC24" s="7">
        <f>IF((IF(G24="",0,IF(IFERROR(IF(VLOOKUP(G24,Materialen!$A$2:$I$39,9,0)="",0,VLOOKUP(G24,Materialen!$A$2:$I$39,9,0)),0)=0,1,0))+IF(I24="",0,IF(IFERROR(IF(VLOOKUP(I24,Materialen!$A$2:$I$39,9,0)="",0,VLOOKUP(I24,Materialen!$A$2:$I$39,9,0)),0)=0,1,0))+IF(K24="",0,IF(IFERROR(IF(VLOOKUP(K24,Materialen!$A$2:$I$39,9,0)="",0,VLOOKUP(K24,Materialen!$A$2:$I$39,9,0)),0)=0,1,0))+IF(M24="",0,IF(IFERROR(IF(VLOOKUP(M24,Materialen!$A$2:$I$39,9,0)="",0,VLOOKUP(M24,Materialen!$A$2:$I$39,9,0)),0)=0,1,0)))&gt;0,"aankoopprijs ontbreekt",IF(AND(G24="",K24="",N(T24)=0,N(R24)=0),"kost invullen (arbeid/overig)","OK"))</f>
        <v/>
      </c>
      <c r="AD24" s="7" t="inlineStr">
        <is>
          <t>Geprijsd per stuk – te bevestigen</t>
        </is>
      </c>
    </row>
    <row r="25">
      <c r="A25" s="7" t="n">
        <v>24</v>
      </c>
      <c r="B25" s="7" t="inlineStr">
        <is>
          <t>STICKERS</t>
        </is>
      </c>
      <c r="C25" s="7" t="inlineStr">
        <is>
          <t>Placement des stickers : prestation pour la pose</t>
        </is>
      </c>
      <c r="D25" s="7" t="inlineStr">
        <is>
          <t>pièce</t>
        </is>
      </c>
      <c r="E25" s="7" t="n">
        <v>1</v>
      </c>
      <c r="F25" s="5" t="n">
        <v>55</v>
      </c>
      <c r="G25" s="7" t="n"/>
      <c r="H25" s="20" t="n"/>
      <c r="I25" s="7" t="n"/>
      <c r="J25" s="20" t="n"/>
      <c r="K25" s="7" t="n"/>
      <c r="L25" s="7" t="n"/>
      <c r="M25" s="7" t="n"/>
      <c r="N25" s="7" t="n"/>
      <c r="O25" s="6">
        <f>IF(G25="","",IF(IFERROR(VLOOKUP(G25,Materialen!$A$2:$I$39,4,0),"")="plaat",Instellingen!$B$4,Instellingen!$B$3))</f>
        <v/>
      </c>
      <c r="P25" s="5">
        <f>ROUND(N(H25)*IFERROR(IF(VLOOKUP(G25,Materialen!$A$2:$I$39,9,0)="",0,VLOOKUP(G25,Materialen!$A$2:$I$39,9,0)),0)*(1+N(O25))+N(J25)*IFERROR(IF(VLOOKUP(I25,Materialen!$A$2:$I$39,9,0)="",0,VLOOKUP(I25,Materialen!$A$2:$I$39,9,0)),0)*(1+N(O25))+N(L25)*IFERROR(IF(VLOOKUP(K25,Materialen!$A$2:$I$39,9,0)="",0,VLOOKUP(K25,Materialen!$A$2:$I$39,9,0)),0)+N(N25)*IFERROR(IF(VLOOKUP(M25,Materialen!$A$2:$I$39,9,0)="",0,VLOOKUP(M25,Materialen!$A$2:$I$39,9,0)),0),2)</f>
        <v/>
      </c>
      <c r="Q25" s="5">
        <f>IF(G25="",0,IF(IFERROR(VLOOKUP(G25,Materialen!$A$2:$I$39,5,0),"N")="J",ROUND(N(H25)*(1+N(O25))*Instellingen!$B$8,2),0))</f>
        <v/>
      </c>
      <c r="R25" s="18" t="n"/>
      <c r="S25" s="5">
        <f>ROUND(N(R25)/60*Instellingen!$B$9,2)</f>
        <v/>
      </c>
      <c r="T25" s="14" t="n"/>
      <c r="U25" s="5">
        <f>P25+Q25+S25+N(T25)</f>
        <v/>
      </c>
      <c r="V25" s="5">
        <f>IF(AC25&lt;&gt;"OK","",F25-U25)</f>
        <v/>
      </c>
      <c r="W25" s="6">
        <f>IF(OR(F25=0,AC25&lt;&gt;"OK"),"",V25/F25)</f>
        <v/>
      </c>
      <c r="X25" s="5">
        <f>IF(N(H25)&gt;0,F25/H25,"")</f>
        <v/>
      </c>
      <c r="Y25" s="5">
        <f>IF(N(H25)&gt;0,IFERROR(IF(VLOOKUP(G25,Materialen!$A$2:$I$39,9,0)="",0,VLOOKUP(G25,Materialen!$A$2:$I$39,9,0)),0),"")</f>
        <v/>
      </c>
      <c r="Z25" s="5">
        <f>ROUND(E25*F25,2)</f>
        <v/>
      </c>
      <c r="AA25" s="5">
        <f>IF(AC25&lt;&gt;"OK","",ROUND(E25*U25,2))</f>
        <v/>
      </c>
      <c r="AB25" s="5">
        <f>IF(AC25&lt;&gt;"OK","",Z25-AA25)</f>
        <v/>
      </c>
      <c r="AC25" s="7">
        <f>IF((IF(G25="",0,IF(IFERROR(IF(VLOOKUP(G25,Materialen!$A$2:$I$39,9,0)="",0,VLOOKUP(G25,Materialen!$A$2:$I$39,9,0)),0)=0,1,0))+IF(I25="",0,IF(IFERROR(IF(VLOOKUP(I25,Materialen!$A$2:$I$39,9,0)="",0,VLOOKUP(I25,Materialen!$A$2:$I$39,9,0)),0)=0,1,0))+IF(K25="",0,IF(IFERROR(IF(VLOOKUP(K25,Materialen!$A$2:$I$39,9,0)="",0,VLOOKUP(K25,Materialen!$A$2:$I$39,9,0)),0)=0,1,0))+IF(M25="",0,IF(IFERROR(IF(VLOOKUP(M25,Materialen!$A$2:$I$39,9,0)="",0,VLOOKUP(M25,Materialen!$A$2:$I$39,9,0)),0)=0,1,0)))&gt;0,"aankoopprijs ontbreekt",IF(AND(G25="",K25="",N(T25)=0,N(R25)=0),"kost invullen (arbeid/overig)","OK"))</f>
        <v/>
      </c>
      <c r="AD25" s="7" t="inlineStr">
        <is>
          <t>Arbeid</t>
        </is>
      </c>
    </row>
    <row r="26">
      <c r="A26" s="7" t="n">
        <v>25</v>
      </c>
      <c r="B26" s="7" t="inlineStr">
        <is>
          <t>STICKERS</t>
        </is>
      </c>
      <c r="C26" s="7" t="inlineStr">
        <is>
          <t>Enlèvement des stickers : prestation de démontage</t>
        </is>
      </c>
      <c r="D26" s="7" t="inlineStr">
        <is>
          <t>pièce</t>
        </is>
      </c>
      <c r="E26" s="7" t="n">
        <v>1</v>
      </c>
      <c r="F26" s="5" t="n">
        <v>45</v>
      </c>
      <c r="G26" s="7" t="n"/>
      <c r="H26" s="20" t="n"/>
      <c r="I26" s="7" t="n"/>
      <c r="J26" s="20" t="n"/>
      <c r="K26" s="7" t="n"/>
      <c r="L26" s="7" t="n"/>
      <c r="M26" s="7" t="n"/>
      <c r="N26" s="7" t="n"/>
      <c r="O26" s="6">
        <f>IF(G26="","",IF(IFERROR(VLOOKUP(G26,Materialen!$A$2:$I$39,4,0),"")="plaat",Instellingen!$B$4,Instellingen!$B$3))</f>
        <v/>
      </c>
      <c r="P26" s="5">
        <f>ROUND(N(H26)*IFERROR(IF(VLOOKUP(G26,Materialen!$A$2:$I$39,9,0)="",0,VLOOKUP(G26,Materialen!$A$2:$I$39,9,0)),0)*(1+N(O26))+N(J26)*IFERROR(IF(VLOOKUP(I26,Materialen!$A$2:$I$39,9,0)="",0,VLOOKUP(I26,Materialen!$A$2:$I$39,9,0)),0)*(1+N(O26))+N(L26)*IFERROR(IF(VLOOKUP(K26,Materialen!$A$2:$I$39,9,0)="",0,VLOOKUP(K26,Materialen!$A$2:$I$39,9,0)),0)+N(N26)*IFERROR(IF(VLOOKUP(M26,Materialen!$A$2:$I$39,9,0)="",0,VLOOKUP(M26,Materialen!$A$2:$I$39,9,0)),0),2)</f>
        <v/>
      </c>
      <c r="Q26" s="5">
        <f>IF(G26="",0,IF(IFERROR(VLOOKUP(G26,Materialen!$A$2:$I$39,5,0),"N")="J",ROUND(N(H26)*(1+N(O26))*Instellingen!$B$8,2),0))</f>
        <v/>
      </c>
      <c r="R26" s="18" t="n"/>
      <c r="S26" s="5">
        <f>ROUND(N(R26)/60*Instellingen!$B$9,2)</f>
        <v/>
      </c>
      <c r="T26" s="14" t="n"/>
      <c r="U26" s="5">
        <f>P26+Q26+S26+N(T26)</f>
        <v/>
      </c>
      <c r="V26" s="5">
        <f>IF(AC26&lt;&gt;"OK","",F26-U26)</f>
        <v/>
      </c>
      <c r="W26" s="6">
        <f>IF(OR(F26=0,AC26&lt;&gt;"OK"),"",V26/F26)</f>
        <v/>
      </c>
      <c r="X26" s="5">
        <f>IF(N(H26)&gt;0,F26/H26,"")</f>
        <v/>
      </c>
      <c r="Y26" s="5">
        <f>IF(N(H26)&gt;0,IFERROR(IF(VLOOKUP(G26,Materialen!$A$2:$I$39,9,0)="",0,VLOOKUP(G26,Materialen!$A$2:$I$39,9,0)),0),"")</f>
        <v/>
      </c>
      <c r="Z26" s="5">
        <f>ROUND(E26*F26,2)</f>
        <v/>
      </c>
      <c r="AA26" s="5">
        <f>IF(AC26&lt;&gt;"OK","",ROUND(E26*U26,2))</f>
        <v/>
      </c>
      <c r="AB26" s="5">
        <f>IF(AC26&lt;&gt;"OK","",Z26-AA26)</f>
        <v/>
      </c>
      <c r="AC26" s="7">
        <f>IF((IF(G26="",0,IF(IFERROR(IF(VLOOKUP(G26,Materialen!$A$2:$I$39,9,0)="",0,VLOOKUP(G26,Materialen!$A$2:$I$39,9,0)),0)=0,1,0))+IF(I26="",0,IF(IFERROR(IF(VLOOKUP(I26,Materialen!$A$2:$I$39,9,0)="",0,VLOOKUP(I26,Materialen!$A$2:$I$39,9,0)),0)=0,1,0))+IF(K26="",0,IF(IFERROR(IF(VLOOKUP(K26,Materialen!$A$2:$I$39,9,0)="",0,VLOOKUP(K26,Materialen!$A$2:$I$39,9,0)),0)=0,1,0))+IF(M26="",0,IF(IFERROR(IF(VLOOKUP(M26,Materialen!$A$2:$I$39,9,0)="",0,VLOOKUP(M26,Materialen!$A$2:$I$39,9,0)),0)=0,1,0)))&gt;0,"aankoopprijs ontbreekt",IF(AND(G26="",K26="",N(T26)=0,N(R26)=0),"kost invullen (arbeid/overig)","OK"))</f>
        <v/>
      </c>
      <c r="AD26" s="7" t="inlineStr">
        <is>
          <t>Arbeid</t>
        </is>
      </c>
    </row>
    <row r="27">
      <c r="A27" s="7" t="n">
        <v>26</v>
      </c>
      <c r="B27" s="7" t="inlineStr">
        <is>
          <t>BEACH FLAG</t>
        </is>
      </c>
      <c r="C27" s="7" t="inlineStr">
        <is>
          <t>Drapeau L 85 x H 260 cm - Hauteur totale avec mât (tube en alu) : 350 cm - Potence horizontale - Toile cousue avec fourreaux vertical et horizontal - Pied en croix - Mousqueton en bas de l'ourlet - Sac de transport</t>
        </is>
      </c>
      <c r="D27" s="7" t="inlineStr">
        <is>
          <t>pièce</t>
        </is>
      </c>
      <c r="E27" s="7" t="n">
        <v>20</v>
      </c>
      <c r="F27" s="5" t="n">
        <v>75</v>
      </c>
      <c r="G27" s="7" t="inlineStr">
        <is>
          <t>M20</t>
        </is>
      </c>
      <c r="H27" s="20" t="n">
        <v>2.21</v>
      </c>
      <c r="I27" s="7" t="n"/>
      <c r="J27" s="20" t="n"/>
      <c r="K27" s="7" t="inlineStr">
        <is>
          <t>M21</t>
        </is>
      </c>
      <c r="L27" s="7" t="n">
        <v>1</v>
      </c>
      <c r="M27" s="7" t="n"/>
      <c r="N27" s="7" t="n"/>
      <c r="O27" s="6">
        <f>IF(G27="","",IF(IFERROR(VLOOKUP(G27,Materialen!$A$2:$I$39,4,0),"")="plaat",Instellingen!$B$4,Instellingen!$B$3))</f>
        <v/>
      </c>
      <c r="P27" s="5">
        <f>ROUND(N(H27)*IFERROR(IF(VLOOKUP(G27,Materialen!$A$2:$I$39,9,0)="",0,VLOOKUP(G27,Materialen!$A$2:$I$39,9,0)),0)*(1+N(O27))+N(J27)*IFERROR(IF(VLOOKUP(I27,Materialen!$A$2:$I$39,9,0)="",0,VLOOKUP(I27,Materialen!$A$2:$I$39,9,0)),0)*(1+N(O27))+N(L27)*IFERROR(IF(VLOOKUP(K27,Materialen!$A$2:$I$39,9,0)="",0,VLOOKUP(K27,Materialen!$A$2:$I$39,9,0)),0)+N(N27)*IFERROR(IF(VLOOKUP(M27,Materialen!$A$2:$I$39,9,0)="",0,VLOOKUP(M27,Materialen!$A$2:$I$39,9,0)),0),2)</f>
        <v/>
      </c>
      <c r="Q27" s="5">
        <f>IF(G27="",0,IF(IFERROR(VLOOKUP(G27,Materialen!$A$2:$I$39,5,0),"N")="J",ROUND(N(H27)*(1+N(O27))*Instellingen!$B$8,2),0))</f>
        <v/>
      </c>
      <c r="R27" s="18" t="n"/>
      <c r="S27" s="5">
        <f>ROUND(N(R27)/60*Instellingen!$B$9,2)</f>
        <v/>
      </c>
      <c r="T27" s="14" t="n"/>
      <c r="U27" s="5">
        <f>P27+Q27+S27+N(T27)</f>
        <v/>
      </c>
      <c r="V27" s="5">
        <f>IF(AC27&lt;&gt;"OK","",F27-U27)</f>
        <v/>
      </c>
      <c r="W27" s="6">
        <f>IF(OR(F27=0,AC27&lt;&gt;"OK"),"",V27/F27)</f>
        <v/>
      </c>
      <c r="X27" s="5">
        <f>IF(N(H27)&gt;0,F27/H27,"")</f>
        <v/>
      </c>
      <c r="Y27" s="5">
        <f>IF(N(H27)&gt;0,IFERROR(IF(VLOOKUP(G27,Materialen!$A$2:$I$39,9,0)="",0,VLOOKUP(G27,Materialen!$A$2:$I$39,9,0)),0),"")</f>
        <v/>
      </c>
      <c r="Z27" s="5">
        <f>ROUND(E27*F27,2)</f>
        <v/>
      </c>
      <c r="AA27" s="5">
        <f>IF(AC27&lt;&gt;"OK","",ROUND(E27*U27,2))</f>
        <v/>
      </c>
      <c r="AB27" s="5">
        <f>IF(AC27&lt;&gt;"OK","",Z27-AA27)</f>
        <v/>
      </c>
      <c r="AC27" s="7">
        <f>IF((IF(G27="",0,IF(IFERROR(IF(VLOOKUP(G27,Materialen!$A$2:$I$39,9,0)="",0,VLOOKUP(G27,Materialen!$A$2:$I$39,9,0)),0)=0,1,0))+IF(I27="",0,IF(IFERROR(IF(VLOOKUP(I27,Materialen!$A$2:$I$39,9,0)="",0,VLOOKUP(I27,Materialen!$A$2:$I$39,9,0)),0)=0,1,0))+IF(K27="",0,IF(IFERROR(IF(VLOOKUP(K27,Materialen!$A$2:$I$39,9,0)="",0,VLOOKUP(K27,Materialen!$A$2:$I$39,9,0)),0)=0,1,0))+IF(M27="",0,IF(IFERROR(IF(VLOOKUP(M27,Materialen!$A$2:$I$39,9,0)="",0,VLOOKUP(M27,Materialen!$A$2:$I$39,9,0)),0)=0,1,0)))&gt;0,"aankoopprijs ontbreekt",IF(AND(G27="",K27="",N(T27)=0,N(R27)=0),"kost invullen (arbeid/overig)","OK"))</f>
        <v/>
      </c>
      <c r="AD27" s="7" t="inlineStr"/>
    </row>
    <row r="28">
      <c r="A28" s="7" t="n">
        <v>27</v>
      </c>
      <c r="B28" s="7" t="inlineStr">
        <is>
          <t>PANNEAUX</t>
        </is>
      </c>
      <c r="C28" s="7" t="inlineStr">
        <is>
          <t>Biprint : L60 x H910cm - impression quadrichromie recto sur panneau biprint de 3 mm</t>
        </is>
      </c>
      <c r="D28" s="7" t="inlineStr">
        <is>
          <t>pièce</t>
        </is>
      </c>
      <c r="E28" s="7" t="n">
        <v>20</v>
      </c>
      <c r="F28" s="5" t="n">
        <v>22</v>
      </c>
      <c r="G28" s="7" t="inlineStr">
        <is>
          <t>M22</t>
        </is>
      </c>
      <c r="H28" s="20" t="n">
        <v>0.54</v>
      </c>
      <c r="I28" s="7" t="n"/>
      <c r="J28" s="20" t="n"/>
      <c r="K28" s="7" t="n"/>
      <c r="L28" s="7" t="n"/>
      <c r="M28" s="7" t="n"/>
      <c r="N28" s="7" t="n"/>
      <c r="O28" s="6">
        <f>IF(G28="","",IF(IFERROR(VLOOKUP(G28,Materialen!$A$2:$I$39,4,0),"")="plaat",Instellingen!$B$4,Instellingen!$B$3))</f>
        <v/>
      </c>
      <c r="P28" s="5">
        <f>ROUND(N(H28)*IFERROR(IF(VLOOKUP(G28,Materialen!$A$2:$I$39,9,0)="",0,VLOOKUP(G28,Materialen!$A$2:$I$39,9,0)),0)*(1+N(O28))+N(J28)*IFERROR(IF(VLOOKUP(I28,Materialen!$A$2:$I$39,9,0)="",0,VLOOKUP(I28,Materialen!$A$2:$I$39,9,0)),0)*(1+N(O28))+N(L28)*IFERROR(IF(VLOOKUP(K28,Materialen!$A$2:$I$39,9,0)="",0,VLOOKUP(K28,Materialen!$A$2:$I$39,9,0)),0)+N(N28)*IFERROR(IF(VLOOKUP(M28,Materialen!$A$2:$I$39,9,0)="",0,VLOOKUP(M28,Materialen!$A$2:$I$39,9,0)),0),2)</f>
        <v/>
      </c>
      <c r="Q28" s="5">
        <f>IF(G28="",0,IF(IFERROR(VLOOKUP(G28,Materialen!$A$2:$I$39,5,0),"N")="J",ROUND(N(H28)*(1+N(O28))*Instellingen!$B$8,2),0))</f>
        <v/>
      </c>
      <c r="R28" s="18" t="n"/>
      <c r="S28" s="5">
        <f>ROUND(N(R28)/60*Instellingen!$B$9,2)</f>
        <v/>
      </c>
      <c r="T28" s="14" t="n"/>
      <c r="U28" s="5">
        <f>P28+Q28+S28+N(T28)</f>
        <v/>
      </c>
      <c r="V28" s="5">
        <f>IF(AC28&lt;&gt;"OK","",F28-U28)</f>
        <v/>
      </c>
      <c r="W28" s="6">
        <f>IF(OR(F28=0,AC28&lt;&gt;"OK"),"",V28/F28)</f>
        <v/>
      </c>
      <c r="X28" s="5">
        <f>IF(N(H28)&gt;0,F28/H28,"")</f>
        <v/>
      </c>
      <c r="Y28" s="5">
        <f>IF(N(H28)&gt;0,IFERROR(IF(VLOOKUP(G28,Materialen!$A$2:$I$39,9,0)="",0,VLOOKUP(G28,Materialen!$A$2:$I$39,9,0)),0),"")</f>
        <v/>
      </c>
      <c r="Z28" s="5">
        <f>ROUND(E28*F28,2)</f>
        <v/>
      </c>
      <c r="AA28" s="5">
        <f>IF(AC28&lt;&gt;"OK","",ROUND(E28*U28,2))</f>
        <v/>
      </c>
      <c r="AB28" s="5">
        <f>IF(AC28&lt;&gt;"OK","",Z28-AA28)</f>
        <v/>
      </c>
      <c r="AC28" s="7">
        <f>IF((IF(G28="",0,IF(IFERROR(IF(VLOOKUP(G28,Materialen!$A$2:$I$39,9,0)="",0,VLOOKUP(G28,Materialen!$A$2:$I$39,9,0)),0)=0,1,0))+IF(I28="",0,IF(IFERROR(IF(VLOOKUP(I28,Materialen!$A$2:$I$39,9,0)="",0,VLOOKUP(I28,Materialen!$A$2:$I$39,9,0)),0)=0,1,0))+IF(K28="",0,IF(IFERROR(IF(VLOOKUP(K28,Materialen!$A$2:$I$39,9,0)="",0,VLOOKUP(K28,Materialen!$A$2:$I$39,9,0)),0)=0,1,0))+IF(M28="",0,IF(IFERROR(IF(VLOOKUP(M28,Materialen!$A$2:$I$39,9,0)="",0,VLOOKUP(M28,Materialen!$A$2:$I$39,9,0)),0)=0,1,0)))&gt;0,"aankoopprijs ontbreekt",IF(AND(G28="",K28="",N(T28)=0,N(R28)=0),"kost invullen (arbeid/overig)","OK"))</f>
        <v/>
      </c>
      <c r="AD28" s="7" t="inlineStr"/>
    </row>
    <row r="29">
      <c r="A29" s="7" t="n">
        <v>28</v>
      </c>
      <c r="B29" s="7" t="inlineStr">
        <is>
          <t>PANNEAUX</t>
        </is>
      </c>
      <c r="C29" s="7" t="inlineStr">
        <is>
          <t>Ronds : 40x40cm - impression quadrichromie recto sur panneau biprint de 3 mm</t>
        </is>
      </c>
      <c r="D29" s="7" t="inlineStr">
        <is>
          <t>pièce</t>
        </is>
      </c>
      <c r="E29" s="7" t="n">
        <v>20</v>
      </c>
      <c r="F29" s="5" t="n">
        <v>14</v>
      </c>
      <c r="G29" s="7" t="inlineStr">
        <is>
          <t>M22</t>
        </is>
      </c>
      <c r="H29" s="20" t="n">
        <v>0.16</v>
      </c>
      <c r="I29" s="7" t="n"/>
      <c r="J29" s="20" t="n"/>
      <c r="K29" s="7" t="n"/>
      <c r="L29" s="7" t="n"/>
      <c r="M29" s="7" t="n"/>
      <c r="N29" s="7" t="n"/>
      <c r="O29" s="6">
        <f>IF(G29="","",IF(IFERROR(VLOOKUP(G29,Materialen!$A$2:$I$39,4,0),"")="plaat",Instellingen!$B$4,Instellingen!$B$3))</f>
        <v/>
      </c>
      <c r="P29" s="5">
        <f>ROUND(N(H29)*IFERROR(IF(VLOOKUP(G29,Materialen!$A$2:$I$39,9,0)="",0,VLOOKUP(G29,Materialen!$A$2:$I$39,9,0)),0)*(1+N(O29))+N(J29)*IFERROR(IF(VLOOKUP(I29,Materialen!$A$2:$I$39,9,0)="",0,VLOOKUP(I29,Materialen!$A$2:$I$39,9,0)),0)*(1+N(O29))+N(L29)*IFERROR(IF(VLOOKUP(K29,Materialen!$A$2:$I$39,9,0)="",0,VLOOKUP(K29,Materialen!$A$2:$I$39,9,0)),0)+N(N29)*IFERROR(IF(VLOOKUP(M29,Materialen!$A$2:$I$39,9,0)="",0,VLOOKUP(M29,Materialen!$A$2:$I$39,9,0)),0),2)</f>
        <v/>
      </c>
      <c r="Q29" s="5">
        <f>IF(G29="",0,IF(IFERROR(VLOOKUP(G29,Materialen!$A$2:$I$39,5,0),"N")="J",ROUND(N(H29)*(1+N(O29))*Instellingen!$B$8,2),0))</f>
        <v/>
      </c>
      <c r="R29" s="18" t="n"/>
      <c r="S29" s="5">
        <f>ROUND(N(R29)/60*Instellingen!$B$9,2)</f>
        <v/>
      </c>
      <c r="T29" s="14" t="n"/>
      <c r="U29" s="5">
        <f>P29+Q29+S29+N(T29)</f>
        <v/>
      </c>
      <c r="V29" s="5">
        <f>IF(AC29&lt;&gt;"OK","",F29-U29)</f>
        <v/>
      </c>
      <c r="W29" s="6">
        <f>IF(OR(F29=0,AC29&lt;&gt;"OK"),"",V29/F29)</f>
        <v/>
      </c>
      <c r="X29" s="5">
        <f>IF(N(H29)&gt;0,F29/H29,"")</f>
        <v/>
      </c>
      <c r="Y29" s="5">
        <f>IF(N(H29)&gt;0,IFERROR(IF(VLOOKUP(G29,Materialen!$A$2:$I$39,9,0)="",0,VLOOKUP(G29,Materialen!$A$2:$I$39,9,0)),0),"")</f>
        <v/>
      </c>
      <c r="Z29" s="5">
        <f>ROUND(E29*F29,2)</f>
        <v/>
      </c>
      <c r="AA29" s="5">
        <f>IF(AC29&lt;&gt;"OK","",ROUND(E29*U29,2))</f>
        <v/>
      </c>
      <c r="AB29" s="5">
        <f>IF(AC29&lt;&gt;"OK","",Z29-AA29)</f>
        <v/>
      </c>
      <c r="AC29" s="7">
        <f>IF((IF(G29="",0,IF(IFERROR(IF(VLOOKUP(G29,Materialen!$A$2:$I$39,9,0)="",0,VLOOKUP(G29,Materialen!$A$2:$I$39,9,0)),0)=0,1,0))+IF(I29="",0,IF(IFERROR(IF(VLOOKUP(I29,Materialen!$A$2:$I$39,9,0)="",0,VLOOKUP(I29,Materialen!$A$2:$I$39,9,0)),0)=0,1,0))+IF(K29="",0,IF(IFERROR(IF(VLOOKUP(K29,Materialen!$A$2:$I$39,9,0)="",0,VLOOKUP(K29,Materialen!$A$2:$I$39,9,0)),0)=0,1,0))+IF(M29="",0,IF(IFERROR(IF(VLOOKUP(M29,Materialen!$A$2:$I$39,9,0)="",0,VLOOKUP(M29,Materialen!$A$2:$I$39,9,0)),0)=0,1,0)))&gt;0,"aankoopprijs ontbreekt",IF(AND(G29="",K29="",N(T29)=0,N(R29)=0),"kost invullen (arbeid/overig)","OK"))</f>
        <v/>
      </c>
      <c r="AD29" s="7" t="inlineStr"/>
    </row>
    <row r="30">
      <c r="A30" s="7" t="n">
        <v>29</v>
      </c>
      <c r="B30" s="7" t="inlineStr">
        <is>
          <t>PANNEAUX</t>
        </is>
      </c>
      <c r="C30" s="7" t="inlineStr">
        <is>
          <t>Panneaux alvéolaires 50x20cm - 3,5cm d'épaisseur - pas de système d'accrochage - 4 coins droits - impression satinée UV - façonnage - production sur mesure</t>
        </is>
      </c>
      <c r="D30" s="7" t="inlineStr">
        <is>
          <t>pièce</t>
        </is>
      </c>
      <c r="E30" s="7" t="n">
        <v>20</v>
      </c>
      <c r="F30" s="5" t="n">
        <v>9</v>
      </c>
      <c r="G30" s="7" t="inlineStr">
        <is>
          <t>M23</t>
        </is>
      </c>
      <c r="H30" s="20" t="n">
        <v>0.1</v>
      </c>
      <c r="I30" s="7" t="n"/>
      <c r="J30" s="20" t="n"/>
      <c r="K30" s="7" t="n"/>
      <c r="L30" s="7" t="n"/>
      <c r="M30" s="7" t="n"/>
      <c r="N30" s="7" t="n"/>
      <c r="O30" s="6">
        <f>IF(G30="","",IF(IFERROR(VLOOKUP(G30,Materialen!$A$2:$I$39,4,0),"")="plaat",Instellingen!$B$4,Instellingen!$B$3))</f>
        <v/>
      </c>
      <c r="P30" s="5">
        <f>ROUND(N(H30)*IFERROR(IF(VLOOKUP(G30,Materialen!$A$2:$I$39,9,0)="",0,VLOOKUP(G30,Materialen!$A$2:$I$39,9,0)),0)*(1+N(O30))+N(J30)*IFERROR(IF(VLOOKUP(I30,Materialen!$A$2:$I$39,9,0)="",0,VLOOKUP(I30,Materialen!$A$2:$I$39,9,0)),0)*(1+N(O30))+N(L30)*IFERROR(IF(VLOOKUP(K30,Materialen!$A$2:$I$39,9,0)="",0,VLOOKUP(K30,Materialen!$A$2:$I$39,9,0)),0)+N(N30)*IFERROR(IF(VLOOKUP(M30,Materialen!$A$2:$I$39,9,0)="",0,VLOOKUP(M30,Materialen!$A$2:$I$39,9,0)),0),2)</f>
        <v/>
      </c>
      <c r="Q30" s="5">
        <f>IF(G30="",0,IF(IFERROR(VLOOKUP(G30,Materialen!$A$2:$I$39,5,0),"N")="J",ROUND(N(H30)*(1+N(O30))*Instellingen!$B$8,2),0))</f>
        <v/>
      </c>
      <c r="R30" s="18" t="n"/>
      <c r="S30" s="5">
        <f>ROUND(N(R30)/60*Instellingen!$B$9,2)</f>
        <v/>
      </c>
      <c r="T30" s="14" t="n"/>
      <c r="U30" s="5">
        <f>P30+Q30+S30+N(T30)</f>
        <v/>
      </c>
      <c r="V30" s="5">
        <f>IF(AC30&lt;&gt;"OK","",F30-U30)</f>
        <v/>
      </c>
      <c r="W30" s="6">
        <f>IF(OR(F30=0,AC30&lt;&gt;"OK"),"",V30/F30)</f>
        <v/>
      </c>
      <c r="X30" s="5">
        <f>IF(N(H30)&gt;0,F30/H30,"")</f>
        <v/>
      </c>
      <c r="Y30" s="5">
        <f>IF(N(H30)&gt;0,IFERROR(IF(VLOOKUP(G30,Materialen!$A$2:$I$39,9,0)="",0,VLOOKUP(G30,Materialen!$A$2:$I$39,9,0)),0),"")</f>
        <v/>
      </c>
      <c r="Z30" s="5">
        <f>ROUND(E30*F30,2)</f>
        <v/>
      </c>
      <c r="AA30" s="5">
        <f>IF(AC30&lt;&gt;"OK","",ROUND(E30*U30,2))</f>
        <v/>
      </c>
      <c r="AB30" s="5">
        <f>IF(AC30&lt;&gt;"OK","",Z30-AA30)</f>
        <v/>
      </c>
      <c r="AC30" s="7">
        <f>IF((IF(G30="",0,IF(IFERROR(IF(VLOOKUP(G30,Materialen!$A$2:$I$39,9,0)="",0,VLOOKUP(G30,Materialen!$A$2:$I$39,9,0)),0)=0,1,0))+IF(I30="",0,IF(IFERROR(IF(VLOOKUP(I30,Materialen!$A$2:$I$39,9,0)="",0,VLOOKUP(I30,Materialen!$A$2:$I$39,9,0)),0)=0,1,0))+IF(K30="",0,IF(IFERROR(IF(VLOOKUP(K30,Materialen!$A$2:$I$39,9,0)="",0,VLOOKUP(K30,Materialen!$A$2:$I$39,9,0)),0)=0,1,0))+IF(M30="",0,IF(IFERROR(IF(VLOOKUP(M30,Materialen!$A$2:$I$39,9,0)="",0,VLOOKUP(M30,Materialen!$A$2:$I$39,9,0)),0)=0,1,0)))&gt;0,"aankoopprijs ontbreekt",IF(AND(G30="",K30="",N(T30)=0,N(R30)=0),"kost invullen (arbeid/overig)","OK"))</f>
        <v/>
      </c>
      <c r="AD30" s="7" t="inlineStr"/>
    </row>
    <row r="31">
      <c r="A31" s="7" t="n">
        <v>30</v>
      </c>
      <c r="B31" s="7" t="inlineStr">
        <is>
          <t>PANNEAUX</t>
        </is>
      </c>
      <c r="C31" s="7" t="inlineStr">
        <is>
          <t>Panneaux alvéolaires 59,4x84,1cm - 3,5cm d'épaisseur - pas de système d'accrochage - 4 coins droits - impression satinée UV - façonnage - production sur mesure</t>
        </is>
      </c>
      <c r="D31" s="7" t="inlineStr">
        <is>
          <t>pièce</t>
        </is>
      </c>
      <c r="E31" s="7" t="n">
        <v>20</v>
      </c>
      <c r="F31" s="5" t="n">
        <v>24</v>
      </c>
      <c r="G31" s="7" t="inlineStr">
        <is>
          <t>M23</t>
        </is>
      </c>
      <c r="H31" s="20" t="n">
        <v>0.5</v>
      </c>
      <c r="I31" s="7" t="n"/>
      <c r="J31" s="20" t="n"/>
      <c r="K31" s="7" t="n"/>
      <c r="L31" s="7" t="n"/>
      <c r="M31" s="7" t="n"/>
      <c r="N31" s="7" t="n"/>
      <c r="O31" s="6">
        <f>IF(G31="","",IF(IFERROR(VLOOKUP(G31,Materialen!$A$2:$I$39,4,0),"")="plaat",Instellingen!$B$4,Instellingen!$B$3))</f>
        <v/>
      </c>
      <c r="P31" s="5">
        <f>ROUND(N(H31)*IFERROR(IF(VLOOKUP(G31,Materialen!$A$2:$I$39,9,0)="",0,VLOOKUP(G31,Materialen!$A$2:$I$39,9,0)),0)*(1+N(O31))+N(J31)*IFERROR(IF(VLOOKUP(I31,Materialen!$A$2:$I$39,9,0)="",0,VLOOKUP(I31,Materialen!$A$2:$I$39,9,0)),0)*(1+N(O31))+N(L31)*IFERROR(IF(VLOOKUP(K31,Materialen!$A$2:$I$39,9,0)="",0,VLOOKUP(K31,Materialen!$A$2:$I$39,9,0)),0)+N(N31)*IFERROR(IF(VLOOKUP(M31,Materialen!$A$2:$I$39,9,0)="",0,VLOOKUP(M31,Materialen!$A$2:$I$39,9,0)),0),2)</f>
        <v/>
      </c>
      <c r="Q31" s="5">
        <f>IF(G31="",0,IF(IFERROR(VLOOKUP(G31,Materialen!$A$2:$I$39,5,0),"N")="J",ROUND(N(H31)*(1+N(O31))*Instellingen!$B$8,2),0))</f>
        <v/>
      </c>
      <c r="R31" s="18" t="n"/>
      <c r="S31" s="5">
        <f>ROUND(N(R31)/60*Instellingen!$B$9,2)</f>
        <v/>
      </c>
      <c r="T31" s="14" t="n"/>
      <c r="U31" s="5">
        <f>P31+Q31+S31+N(T31)</f>
        <v/>
      </c>
      <c r="V31" s="5">
        <f>IF(AC31&lt;&gt;"OK","",F31-U31)</f>
        <v/>
      </c>
      <c r="W31" s="6">
        <f>IF(OR(F31=0,AC31&lt;&gt;"OK"),"",V31/F31)</f>
        <v/>
      </c>
      <c r="X31" s="5">
        <f>IF(N(H31)&gt;0,F31/H31,"")</f>
        <v/>
      </c>
      <c r="Y31" s="5">
        <f>IF(N(H31)&gt;0,IFERROR(IF(VLOOKUP(G31,Materialen!$A$2:$I$39,9,0)="",0,VLOOKUP(G31,Materialen!$A$2:$I$39,9,0)),0),"")</f>
        <v/>
      </c>
      <c r="Z31" s="5">
        <f>ROUND(E31*F31,2)</f>
        <v/>
      </c>
      <c r="AA31" s="5">
        <f>IF(AC31&lt;&gt;"OK","",ROUND(E31*U31,2))</f>
        <v/>
      </c>
      <c r="AB31" s="5">
        <f>IF(AC31&lt;&gt;"OK","",Z31-AA31)</f>
        <v/>
      </c>
      <c r="AC31" s="7">
        <f>IF((IF(G31="",0,IF(IFERROR(IF(VLOOKUP(G31,Materialen!$A$2:$I$39,9,0)="",0,VLOOKUP(G31,Materialen!$A$2:$I$39,9,0)),0)=0,1,0))+IF(I31="",0,IF(IFERROR(IF(VLOOKUP(I31,Materialen!$A$2:$I$39,9,0)="",0,VLOOKUP(I31,Materialen!$A$2:$I$39,9,0)),0)=0,1,0))+IF(K31="",0,IF(IFERROR(IF(VLOOKUP(K31,Materialen!$A$2:$I$39,9,0)="",0,VLOOKUP(K31,Materialen!$A$2:$I$39,9,0)),0)=0,1,0))+IF(M31="",0,IF(IFERROR(IF(VLOOKUP(M31,Materialen!$A$2:$I$39,9,0)="",0,VLOOKUP(M31,Materialen!$A$2:$I$39,9,0)),0)=0,1,0)))&gt;0,"aankoopprijs ontbreekt",IF(AND(G31="",K31="",N(T31)=0,N(R31)=0),"kost invullen (arbeid/overig)","OK"))</f>
        <v/>
      </c>
      <c r="AD31" s="7" t="inlineStr"/>
    </row>
    <row r="32">
      <c r="A32" s="7" t="n">
        <v>31</v>
      </c>
      <c r="B32" s="7" t="inlineStr">
        <is>
          <t>PANNEAUX</t>
        </is>
      </c>
      <c r="C32" s="7" t="inlineStr">
        <is>
          <t>Élastiques à boule de 5mm de diamètre et de longueur hors boule 15cm</t>
        </is>
      </c>
      <c r="D32" s="7" t="inlineStr">
        <is>
          <t>pièce</t>
        </is>
      </c>
      <c r="E32" s="7" t="n">
        <v>50</v>
      </c>
      <c r="F32" s="5" t="n">
        <v>0.45</v>
      </c>
      <c r="G32" s="7" t="n"/>
      <c r="H32" s="20" t="n"/>
      <c r="I32" s="7" t="n"/>
      <c r="J32" s="20" t="n"/>
      <c r="K32" s="7" t="inlineStr">
        <is>
          <t>M24</t>
        </is>
      </c>
      <c r="L32" s="7" t="n">
        <v>1</v>
      </c>
      <c r="M32" s="7" t="n"/>
      <c r="N32" s="7" t="n"/>
      <c r="O32" s="6">
        <f>IF(G32="","",IF(IFERROR(VLOOKUP(G32,Materialen!$A$2:$I$39,4,0),"")="plaat",Instellingen!$B$4,Instellingen!$B$3))</f>
        <v/>
      </c>
      <c r="P32" s="5">
        <f>ROUND(N(H32)*IFERROR(IF(VLOOKUP(G32,Materialen!$A$2:$I$39,9,0)="",0,VLOOKUP(G32,Materialen!$A$2:$I$39,9,0)),0)*(1+N(O32))+N(J32)*IFERROR(IF(VLOOKUP(I32,Materialen!$A$2:$I$39,9,0)="",0,VLOOKUP(I32,Materialen!$A$2:$I$39,9,0)),0)*(1+N(O32))+N(L32)*IFERROR(IF(VLOOKUP(K32,Materialen!$A$2:$I$39,9,0)="",0,VLOOKUP(K32,Materialen!$A$2:$I$39,9,0)),0)+N(N32)*IFERROR(IF(VLOOKUP(M32,Materialen!$A$2:$I$39,9,0)="",0,VLOOKUP(M32,Materialen!$A$2:$I$39,9,0)),0),2)</f>
        <v/>
      </c>
      <c r="Q32" s="5">
        <f>IF(G32="",0,IF(IFERROR(VLOOKUP(G32,Materialen!$A$2:$I$39,5,0),"N")="J",ROUND(N(H32)*(1+N(O32))*Instellingen!$B$8,2),0))</f>
        <v/>
      </c>
      <c r="R32" s="18" t="n"/>
      <c r="S32" s="5">
        <f>ROUND(N(R32)/60*Instellingen!$B$9,2)</f>
        <v/>
      </c>
      <c r="T32" s="14" t="n"/>
      <c r="U32" s="5">
        <f>P32+Q32+S32+N(T32)</f>
        <v/>
      </c>
      <c r="V32" s="5">
        <f>IF(AC32&lt;&gt;"OK","",F32-U32)</f>
        <v/>
      </c>
      <c r="W32" s="6">
        <f>IF(OR(F32=0,AC32&lt;&gt;"OK"),"",V32/F32)</f>
        <v/>
      </c>
      <c r="X32" s="5">
        <f>IF(N(H32)&gt;0,F32/H32,"")</f>
        <v/>
      </c>
      <c r="Y32" s="5">
        <f>IF(N(H32)&gt;0,IFERROR(IF(VLOOKUP(G32,Materialen!$A$2:$I$39,9,0)="",0,VLOOKUP(G32,Materialen!$A$2:$I$39,9,0)),0),"")</f>
        <v/>
      </c>
      <c r="Z32" s="5">
        <f>ROUND(E32*F32,2)</f>
        <v/>
      </c>
      <c r="AA32" s="5">
        <f>IF(AC32&lt;&gt;"OK","",ROUND(E32*U32,2))</f>
        <v/>
      </c>
      <c r="AB32" s="5">
        <f>IF(AC32&lt;&gt;"OK","",Z32-AA32)</f>
        <v/>
      </c>
      <c r="AC32" s="7">
        <f>IF((IF(G32="",0,IF(IFERROR(IF(VLOOKUP(G32,Materialen!$A$2:$I$39,9,0)="",0,VLOOKUP(G32,Materialen!$A$2:$I$39,9,0)),0)=0,1,0))+IF(I32="",0,IF(IFERROR(IF(VLOOKUP(I32,Materialen!$A$2:$I$39,9,0)="",0,VLOOKUP(I32,Materialen!$A$2:$I$39,9,0)),0)=0,1,0))+IF(K32="",0,IF(IFERROR(IF(VLOOKUP(K32,Materialen!$A$2:$I$39,9,0)="",0,VLOOKUP(K32,Materialen!$A$2:$I$39,9,0)),0)=0,1,0))+IF(M32="",0,IF(IFERROR(IF(VLOOKUP(M32,Materialen!$A$2:$I$39,9,0)="",0,VLOOKUP(M32,Materialen!$A$2:$I$39,9,0)),0)=0,1,0)))&gt;0,"aankoopprijs ontbreekt",IF(AND(G32="",K32="",N(T32)=0,N(R32)=0),"kost invullen (arbeid/overig)","OK"))</f>
        <v/>
      </c>
      <c r="AD32" s="7" t="inlineStr"/>
    </row>
    <row r="33">
      <c r="A33" s="7" t="n">
        <v>32</v>
      </c>
      <c r="B33" s="7" t="inlineStr">
        <is>
          <t>PLACEMENT EVENTUEL</t>
        </is>
      </c>
      <c r="C33" s="7" t="inlineStr">
        <is>
          <t>Frais de déplacement aller- retour</t>
        </is>
      </c>
      <c r="D33" s="7" t="inlineStr">
        <is>
          <t>forfait</t>
        </is>
      </c>
      <c r="E33" s="7" t="n">
        <v>1</v>
      </c>
      <c r="F33" s="5" t="n">
        <v>45</v>
      </c>
      <c r="G33" s="7" t="n"/>
      <c r="H33" s="20" t="n"/>
      <c r="I33" s="7" t="n"/>
      <c r="J33" s="20" t="n"/>
      <c r="K33" s="7" t="n"/>
      <c r="L33" s="7" t="n"/>
      <c r="M33" s="7" t="n"/>
      <c r="N33" s="7" t="n"/>
      <c r="O33" s="6">
        <f>IF(G33="","",IF(IFERROR(VLOOKUP(G33,Materialen!$A$2:$I$39,4,0),"")="plaat",Instellingen!$B$4,Instellingen!$B$3))</f>
        <v/>
      </c>
      <c r="P33" s="5">
        <f>ROUND(N(H33)*IFERROR(IF(VLOOKUP(G33,Materialen!$A$2:$I$39,9,0)="",0,VLOOKUP(G33,Materialen!$A$2:$I$39,9,0)),0)*(1+N(O33))+N(J33)*IFERROR(IF(VLOOKUP(I33,Materialen!$A$2:$I$39,9,0)="",0,VLOOKUP(I33,Materialen!$A$2:$I$39,9,0)),0)*(1+N(O33))+N(L33)*IFERROR(IF(VLOOKUP(K33,Materialen!$A$2:$I$39,9,0)="",0,VLOOKUP(K33,Materialen!$A$2:$I$39,9,0)),0)+N(N33)*IFERROR(IF(VLOOKUP(M33,Materialen!$A$2:$I$39,9,0)="",0,VLOOKUP(M33,Materialen!$A$2:$I$39,9,0)),0),2)</f>
        <v/>
      </c>
      <c r="Q33" s="5">
        <f>IF(G33="",0,IF(IFERROR(VLOOKUP(G33,Materialen!$A$2:$I$39,5,0),"N")="J",ROUND(N(H33)*(1+N(O33))*Instellingen!$B$8,2),0))</f>
        <v/>
      </c>
      <c r="R33" s="18" t="n"/>
      <c r="S33" s="5">
        <f>ROUND(N(R33)/60*Instellingen!$B$9,2)</f>
        <v/>
      </c>
      <c r="T33" s="14" t="n"/>
      <c r="U33" s="5">
        <f>P33+Q33+S33+N(T33)</f>
        <v/>
      </c>
      <c r="V33" s="5">
        <f>IF(AC33&lt;&gt;"OK","",F33-U33)</f>
        <v/>
      </c>
      <c r="W33" s="6">
        <f>IF(OR(F33=0,AC33&lt;&gt;"OK"),"",V33/F33)</f>
        <v/>
      </c>
      <c r="X33" s="5">
        <f>IF(N(H33)&gt;0,F33/H33,"")</f>
        <v/>
      </c>
      <c r="Y33" s="5">
        <f>IF(N(H33)&gt;0,IFERROR(IF(VLOOKUP(G33,Materialen!$A$2:$I$39,9,0)="",0,VLOOKUP(G33,Materialen!$A$2:$I$39,9,0)),0),"")</f>
        <v/>
      </c>
      <c r="Z33" s="5">
        <f>ROUND(E33*F33,2)</f>
        <v/>
      </c>
      <c r="AA33" s="5">
        <f>IF(AC33&lt;&gt;"OK","",ROUND(E33*U33,2))</f>
        <v/>
      </c>
      <c r="AB33" s="5">
        <f>IF(AC33&lt;&gt;"OK","",Z33-AA33)</f>
        <v/>
      </c>
      <c r="AC33" s="7">
        <f>IF((IF(G33="",0,IF(IFERROR(IF(VLOOKUP(G33,Materialen!$A$2:$I$39,9,0)="",0,VLOOKUP(G33,Materialen!$A$2:$I$39,9,0)),0)=0,1,0))+IF(I33="",0,IF(IFERROR(IF(VLOOKUP(I33,Materialen!$A$2:$I$39,9,0)="",0,VLOOKUP(I33,Materialen!$A$2:$I$39,9,0)),0)=0,1,0))+IF(K33="",0,IF(IFERROR(IF(VLOOKUP(K33,Materialen!$A$2:$I$39,9,0)="",0,VLOOKUP(K33,Materialen!$A$2:$I$39,9,0)),0)=0,1,0))+IF(M33="",0,IF(IFERROR(IF(VLOOKUP(M33,Materialen!$A$2:$I$39,9,0)="",0,VLOOKUP(M33,Materialen!$A$2:$I$39,9,0)),0)=0,1,0)))&gt;0,"aankoopprijs ontbreekt",IF(AND(G33="",K33="",N(T33)=0,N(R33)=0),"kost invullen (arbeid/overig)","OK"))</f>
        <v/>
      </c>
      <c r="AD33" s="7" t="inlineStr">
        <is>
          <t>Verplaatsing → overige kost</t>
        </is>
      </c>
    </row>
    <row r="34">
      <c r="A34" s="7" t="n">
        <v>33</v>
      </c>
      <c r="B34" s="7" t="inlineStr">
        <is>
          <t>PLACEMENT EVENTUEL</t>
        </is>
      </c>
      <c r="C34" s="7" t="inlineStr">
        <is>
          <t>Tarif horaire</t>
        </is>
      </c>
      <c r="D34" s="7" t="inlineStr">
        <is>
          <t>heure</t>
        </is>
      </c>
      <c r="E34" s="7" t="n">
        <v>1</v>
      </c>
      <c r="F34" s="5" t="n">
        <v>48</v>
      </c>
      <c r="G34" s="7" t="n"/>
      <c r="H34" s="20" t="n"/>
      <c r="I34" s="7" t="n"/>
      <c r="J34" s="20" t="n"/>
      <c r="K34" s="7" t="n"/>
      <c r="L34" s="7" t="n"/>
      <c r="M34" s="7" t="n"/>
      <c r="N34" s="7" t="n"/>
      <c r="O34" s="6">
        <f>IF(G34="","",IF(IFERROR(VLOOKUP(G34,Materialen!$A$2:$I$39,4,0),"")="plaat",Instellingen!$B$4,Instellingen!$B$3))</f>
        <v/>
      </c>
      <c r="P34" s="5">
        <f>ROUND(N(H34)*IFERROR(IF(VLOOKUP(G34,Materialen!$A$2:$I$39,9,0)="",0,VLOOKUP(G34,Materialen!$A$2:$I$39,9,0)),0)*(1+N(O34))+N(J34)*IFERROR(IF(VLOOKUP(I34,Materialen!$A$2:$I$39,9,0)="",0,VLOOKUP(I34,Materialen!$A$2:$I$39,9,0)),0)*(1+N(O34))+N(L34)*IFERROR(IF(VLOOKUP(K34,Materialen!$A$2:$I$39,9,0)="",0,VLOOKUP(K34,Materialen!$A$2:$I$39,9,0)),0)+N(N34)*IFERROR(IF(VLOOKUP(M34,Materialen!$A$2:$I$39,9,0)="",0,VLOOKUP(M34,Materialen!$A$2:$I$39,9,0)),0),2)</f>
        <v/>
      </c>
      <c r="Q34" s="5">
        <f>IF(G34="",0,IF(IFERROR(VLOOKUP(G34,Materialen!$A$2:$I$39,5,0),"N")="J",ROUND(N(H34)*(1+N(O34))*Instellingen!$B$8,2),0))</f>
        <v/>
      </c>
      <c r="R34" s="18" t="n"/>
      <c r="S34" s="5">
        <f>ROUND(N(R34)/60*Instellingen!$B$9,2)</f>
        <v/>
      </c>
      <c r="T34" s="14" t="n"/>
      <c r="U34" s="5">
        <f>P34+Q34+S34+N(T34)</f>
        <v/>
      </c>
      <c r="V34" s="5">
        <f>IF(AC34&lt;&gt;"OK","",F34-U34)</f>
        <v/>
      </c>
      <c r="W34" s="6">
        <f>IF(OR(F34=0,AC34&lt;&gt;"OK"),"",V34/F34)</f>
        <v/>
      </c>
      <c r="X34" s="5">
        <f>IF(N(H34)&gt;0,F34/H34,"")</f>
        <v/>
      </c>
      <c r="Y34" s="5">
        <f>IF(N(H34)&gt;0,IFERROR(IF(VLOOKUP(G34,Materialen!$A$2:$I$39,9,0)="",0,VLOOKUP(G34,Materialen!$A$2:$I$39,9,0)),0),"")</f>
        <v/>
      </c>
      <c r="Z34" s="5">
        <f>ROUND(E34*F34,2)</f>
        <v/>
      </c>
      <c r="AA34" s="5">
        <f>IF(AC34&lt;&gt;"OK","",ROUND(E34*U34,2))</f>
        <v/>
      </c>
      <c r="AB34" s="5">
        <f>IF(AC34&lt;&gt;"OK","",Z34-AA34)</f>
        <v/>
      </c>
      <c r="AC34" s="7">
        <f>IF((IF(G34="",0,IF(IFERROR(IF(VLOOKUP(G34,Materialen!$A$2:$I$39,9,0)="",0,VLOOKUP(G34,Materialen!$A$2:$I$39,9,0)),0)=0,1,0))+IF(I34="",0,IF(IFERROR(IF(VLOOKUP(I34,Materialen!$A$2:$I$39,9,0)="",0,VLOOKUP(I34,Materialen!$A$2:$I$39,9,0)),0)=0,1,0))+IF(K34="",0,IF(IFERROR(IF(VLOOKUP(K34,Materialen!$A$2:$I$39,9,0)="",0,VLOOKUP(K34,Materialen!$A$2:$I$39,9,0)),0)=0,1,0))+IF(M34="",0,IF(IFERROR(IF(VLOOKUP(M34,Materialen!$A$2:$I$39,9,0)="",0,VLOOKUP(M34,Materialen!$A$2:$I$39,9,0)),0)=0,1,0)))&gt;0,"aankoopprijs ontbreekt",IF(AND(G34="",K34="",N(T34)=0,N(R34)=0),"kost invullen (arbeid/overig)","OK"))</f>
        <v/>
      </c>
      <c r="AD34" s="7" t="inlineStr">
        <is>
          <t>Arbeid</t>
        </is>
      </c>
    </row>
    <row r="35">
      <c r="W35" s="21" t="inlineStr">
        <is>
          <t>Marge % (volledige posten)</t>
        </is>
      </c>
      <c r="Y35" s="21" t="inlineStr">
        <is>
          <t>Verkoop posten met volledige kost</t>
        </is>
      </c>
    </row>
    <row r="36">
      <c r="C36" s="10" t="inlineStr">
        <is>
          <t>TOTAAL</t>
        </is>
      </c>
      <c r="W36" s="22">
        <f>IF(Y36=0,"",AB36/Y36)</f>
        <v/>
      </c>
      <c r="Y36" s="23">
        <f>SUMIF(AC2:AC34,"OK",Z2:Z34)</f>
        <v/>
      </c>
      <c r="Z36" s="23">
        <f>SUM(Z2:Z34)</f>
        <v/>
      </c>
      <c r="AA36" s="23">
        <f>SUM(AA2:AA34)</f>
        <v/>
      </c>
      <c r="AB36" s="23">
        <f>SUM(AB2:AB34)</f>
        <v/>
      </c>
    </row>
    <row r="37">
      <c r="C37" t="inlineStr">
        <is>
          <t>Posten met ontbrekende aankoopprijs</t>
        </is>
      </c>
      <c r="AC37">
        <f>COUNTIF(AC2:AC34,"aankoopprijs ontbreekt")</f>
        <v/>
      </c>
    </row>
    <row r="38">
      <c r="C38" s="2" t="inlineStr">
        <is>
          <t>Let op: de totale marge is pas betrouwbaar als 'Controle' overal OK toont.</t>
        </is>
      </c>
    </row>
  </sheetData>
  <conditionalFormatting sqref="W2:W34">
    <cfRule type="expression" priority="1" dxfId="0">
      <formula>AND(W2&lt;&gt;"",W2&lt;Instellingen!$B$10)</formula>
    </cfRule>
    <cfRule type="expression" priority="2" dxfId="1">
      <formula>AND(W2&lt;&gt;"",W2&gt;=Instellingen!$B$10,W2&lt;Instellingen!$B$10+0.15)</formula>
    </cfRule>
    <cfRule type="expression" priority="3" dxfId="2">
      <formula>AND(W2&lt;&gt;"",W2&gt;=Instellingen!$B$10+0.15)</formula>
    </cfRule>
  </conditionalFormatting>
  <conditionalFormatting sqref="AC2:AC34">
    <cfRule type="expression" priority="4" dxfId="3">
      <formula>AC2&lt;&gt;"OK"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3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10" customWidth="1" min="4" max="4"/>
    <col width="6" customWidth="1" min="5" max="5"/>
    <col width="11" customWidth="1" min="6" max="6"/>
    <col width="7" customWidth="1" min="7" max="7"/>
    <col width="8" customWidth="1" min="8" max="8"/>
    <col width="7" customWidth="1" min="9" max="9"/>
    <col width="8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11" customWidth="1" min="16" max="16"/>
    <col width="10" customWidth="1" min="17" max="17"/>
    <col width="8" customWidth="1" min="18" max="18"/>
    <col width="10" customWidth="1" min="19" max="19"/>
    <col width="12" customWidth="1" min="20" max="20"/>
    <col width="11" customWidth="1" min="21" max="21"/>
    <col width="11" customWidth="1" min="22" max="22"/>
    <col width="8" customWidth="1" min="23" max="23"/>
    <col width="10" customWidth="1" min="24" max="24"/>
    <col width="10" customWidth="1" min="25" max="25"/>
    <col width="12" customWidth="1" min="26" max="26"/>
    <col width="12" customWidth="1" min="27" max="27"/>
    <col width="12" customWidth="1" min="28" max="28"/>
    <col width="22" customWidth="1" min="29" max="29"/>
    <col width="40" customWidth="1" min="30" max="30"/>
  </cols>
  <sheetData>
    <row r="1" ht="58" customHeight="1">
      <c r="A1" s="17" t="inlineStr">
        <is>
          <t>N°</t>
        </is>
      </c>
      <c r="B1" s="17" t="inlineStr">
        <is>
          <t>Rubriek</t>
        </is>
      </c>
      <c r="C1" s="17" t="inlineStr">
        <is>
          <t>Omschrijving</t>
        </is>
      </c>
      <c r="D1" s="17" t="inlineStr">
        <is>
          <t>Eenheid</t>
        </is>
      </c>
      <c r="E1" s="17" t="inlineStr">
        <is>
          <t>Q</t>
        </is>
      </c>
      <c r="F1" s="17" t="inlineStr">
        <is>
          <t>Verkoop PU excl. btw</t>
        </is>
      </c>
      <c r="G1" s="17" t="inlineStr">
        <is>
          <t>Materiaal 1</t>
        </is>
      </c>
      <c r="H1" s="17" t="inlineStr">
        <is>
          <t>m² mat. 1 / eenheid</t>
        </is>
      </c>
      <c r="I1" s="17" t="inlineStr">
        <is>
          <t>Materiaal 2</t>
        </is>
      </c>
      <c r="J1" s="17" t="inlineStr">
        <is>
          <t>m² mat. 2 / eenheid</t>
        </is>
      </c>
      <c r="K1" s="17" t="inlineStr">
        <is>
          <t>Acc. 1</t>
        </is>
      </c>
      <c r="L1" s="17" t="inlineStr">
        <is>
          <t>Aantal acc. 1</t>
        </is>
      </c>
      <c r="M1" s="17" t="inlineStr">
        <is>
          <t>Acc. 2</t>
        </is>
      </c>
      <c r="N1" s="17" t="inlineStr">
        <is>
          <t>Aantal acc. 2</t>
        </is>
      </c>
      <c r="O1" s="17" t="inlineStr">
        <is>
          <t>Afval %</t>
        </is>
      </c>
      <c r="P1" s="17" t="inlineStr">
        <is>
          <t>Materiaalkost / eenheid</t>
        </is>
      </c>
      <c r="Q1" s="17" t="inlineStr">
        <is>
          <t>Inktkost / eenheid</t>
        </is>
      </c>
      <c r="R1" s="17" t="inlineStr">
        <is>
          <t>Arbeid min / eenheid</t>
        </is>
      </c>
      <c r="S1" s="17" t="inlineStr">
        <is>
          <t>Arbeid € / eenheid</t>
        </is>
      </c>
      <c r="T1" s="17" t="inlineStr">
        <is>
          <t>Overige kost / eenheid (huur, transport)</t>
        </is>
      </c>
      <c r="U1" s="17" t="inlineStr">
        <is>
          <t>Kostprijs / eenheid</t>
        </is>
      </c>
      <c r="V1" s="17" t="inlineStr">
        <is>
          <t>Marge € / eenheid</t>
        </is>
      </c>
      <c r="W1" s="17" t="inlineStr">
        <is>
          <t>Marge %</t>
        </is>
      </c>
      <c r="X1" s="17" t="inlineStr">
        <is>
          <t>Verkoop / m²</t>
        </is>
      </c>
      <c r="Y1" s="17" t="inlineStr">
        <is>
          <t>Aankoop mat. / m²</t>
        </is>
      </c>
      <c r="Z1" s="17" t="inlineStr">
        <is>
          <t>Totaal verkoop</t>
        </is>
      </c>
      <c r="AA1" s="17" t="inlineStr">
        <is>
          <t>Totaal kost</t>
        </is>
      </c>
      <c r="AB1" s="17" t="inlineStr">
        <is>
          <t>Totaal marge</t>
        </is>
      </c>
      <c r="AC1" s="17" t="inlineStr">
        <is>
          <t>Controle</t>
        </is>
      </c>
      <c r="AD1" s="17" t="inlineStr">
        <is>
          <t>Opmerking</t>
        </is>
      </c>
    </row>
    <row r="2">
      <c r="A2" s="7" t="n">
        <v>1</v>
      </c>
      <c r="B2" s="7" t="inlineStr">
        <is>
          <t>Impression quadrichromie sur toile 100% polyester - 300g/m² - white - M1 à coller sur mur (intérieur)</t>
        </is>
      </c>
      <c r="C2" s="7" t="inlineStr">
        <is>
          <t>&gt;= A2 et &lt;= 1 m²</t>
        </is>
      </c>
      <c r="D2" s="7" t="inlineStr">
        <is>
          <t>m²</t>
        </is>
      </c>
      <c r="E2" s="7" t="n">
        <v>5</v>
      </c>
      <c r="F2" s="5" t="n">
        <v>48</v>
      </c>
      <c r="G2" s="7" t="inlineStr">
        <is>
          <t>M30</t>
        </is>
      </c>
      <c r="H2" s="20" t="n">
        <v>1</v>
      </c>
      <c r="I2" s="7" t="n"/>
      <c r="J2" s="20" t="n"/>
      <c r="K2" s="7" t="n"/>
      <c r="L2" s="7" t="n"/>
      <c r="M2" s="7" t="n"/>
      <c r="N2" s="7" t="n"/>
      <c r="O2" s="6">
        <f>IF(G2="","",IF(IFERROR(VLOOKUP(G2,Materialen!$A$2:$I$39,4,0),"")="plaat",Instellingen!$B$4,Instellingen!$B$3))</f>
        <v/>
      </c>
      <c r="P2" s="5">
        <f>ROUND(N(H2)*IFERROR(IF(VLOOKUP(G2,Materialen!$A$2:$I$39,9,0)="",0,VLOOKUP(G2,Materialen!$A$2:$I$39,9,0)),0)*(1+N(O2))+N(J2)*IFERROR(IF(VLOOKUP(I2,Materialen!$A$2:$I$39,9,0)="",0,VLOOKUP(I2,Materialen!$A$2:$I$39,9,0)),0)*(1+N(O2))+N(L2)*IFERROR(IF(VLOOKUP(K2,Materialen!$A$2:$I$39,9,0)="",0,VLOOKUP(K2,Materialen!$A$2:$I$39,9,0)),0)+N(N2)*IFERROR(IF(VLOOKUP(M2,Materialen!$A$2:$I$39,9,0)="",0,VLOOKUP(M2,Materialen!$A$2:$I$39,9,0)),0),2)</f>
        <v/>
      </c>
      <c r="Q2" s="5">
        <f>IF(G2="",0,IF(IFERROR(VLOOKUP(G2,Materialen!$A$2:$I$39,5,0),"N")="J",ROUND(N(H2)*(1+N(O2))*Instellingen!$B$8,2),0))</f>
        <v/>
      </c>
      <c r="R2" s="18" t="n"/>
      <c r="S2" s="5">
        <f>ROUND(N(R2)/60*Instellingen!$B$9,2)</f>
        <v/>
      </c>
      <c r="T2" s="14" t="n"/>
      <c r="U2" s="5">
        <f>P2+Q2+S2+N(T2)</f>
        <v/>
      </c>
      <c r="V2" s="5">
        <f>IF(AC2&lt;&gt;"OK","",F2-U2)</f>
        <v/>
      </c>
      <c r="W2" s="6">
        <f>IF(OR(F2=0,AC2&lt;&gt;"OK"),"",V2/F2)</f>
        <v/>
      </c>
      <c r="X2" s="5">
        <f>IF(N(H2)&gt;0,F2/H2,"")</f>
        <v/>
      </c>
      <c r="Y2" s="5">
        <f>IF(N(H2)&gt;0,IFERROR(IF(VLOOKUP(G2,Materialen!$A$2:$I$39,9,0)="",0,VLOOKUP(G2,Materialen!$A$2:$I$39,9,0)),0),"")</f>
        <v/>
      </c>
      <c r="Z2" s="5">
        <f>ROUND(E2*F2,2)</f>
        <v/>
      </c>
      <c r="AA2" s="5">
        <f>IF(AC2&lt;&gt;"OK","",ROUND(E2*U2,2))</f>
        <v/>
      </c>
      <c r="AB2" s="5">
        <f>IF(AC2&lt;&gt;"OK","",Z2-AA2)</f>
        <v/>
      </c>
      <c r="AC2" s="7">
        <f>IF((IF(G2="",0,IF(IFERROR(IF(VLOOKUP(G2,Materialen!$A$2:$I$39,9,0)="",0,VLOOKUP(G2,Materialen!$A$2:$I$39,9,0)),0)=0,1,0))+IF(I2="",0,IF(IFERROR(IF(VLOOKUP(I2,Materialen!$A$2:$I$39,9,0)="",0,VLOOKUP(I2,Materialen!$A$2:$I$39,9,0)),0)=0,1,0))+IF(K2="",0,IF(IFERROR(IF(VLOOKUP(K2,Materialen!$A$2:$I$39,9,0)="",0,VLOOKUP(K2,Materialen!$A$2:$I$39,9,0)),0)=0,1,0))+IF(M2="",0,IF(IFERROR(IF(VLOOKUP(M2,Materialen!$A$2:$I$39,9,0)="",0,VLOOKUP(M2,Materialen!$A$2:$I$39,9,0)),0)=0,1,0)))&gt;0,"aankoopprijs ontbreekt",IF(AND(G2="",K2="",N(T2)=0,N(R2)=0),"kost invullen (arbeid/overig)","OK"))</f>
        <v/>
      </c>
      <c r="AD2" s="7" t="inlineStr"/>
    </row>
    <row r="3">
      <c r="A3" s="7" t="n">
        <v>2</v>
      </c>
      <c r="B3" s="7" t="inlineStr">
        <is>
          <t>Impression quadrichromie sur toile 100% polyester - 300g/m² - white - M1 à coller sur mur (intérieur)</t>
        </is>
      </c>
      <c r="C3" s="7" t="inlineStr">
        <is>
          <t>&gt; 1 m² et &lt;= 2 m²</t>
        </is>
      </c>
      <c r="D3" s="7" t="inlineStr">
        <is>
          <t>m²</t>
        </is>
      </c>
      <c r="E3" s="7" t="n">
        <v>5</v>
      </c>
      <c r="F3" s="5" t="n">
        <v>42</v>
      </c>
      <c r="G3" s="7" t="inlineStr">
        <is>
          <t>M30</t>
        </is>
      </c>
      <c r="H3" s="20" t="n">
        <v>1</v>
      </c>
      <c r="I3" s="7" t="n"/>
      <c r="J3" s="20" t="n"/>
      <c r="K3" s="7" t="n"/>
      <c r="L3" s="7" t="n"/>
      <c r="M3" s="7" t="n"/>
      <c r="N3" s="7" t="n"/>
      <c r="O3" s="6">
        <f>IF(G3="","",IF(IFERROR(VLOOKUP(G3,Materialen!$A$2:$I$39,4,0),"")="plaat",Instellingen!$B$4,Instellingen!$B$3))</f>
        <v/>
      </c>
      <c r="P3" s="5">
        <f>ROUND(N(H3)*IFERROR(IF(VLOOKUP(G3,Materialen!$A$2:$I$39,9,0)="",0,VLOOKUP(G3,Materialen!$A$2:$I$39,9,0)),0)*(1+N(O3))+N(J3)*IFERROR(IF(VLOOKUP(I3,Materialen!$A$2:$I$39,9,0)="",0,VLOOKUP(I3,Materialen!$A$2:$I$39,9,0)),0)*(1+N(O3))+N(L3)*IFERROR(IF(VLOOKUP(K3,Materialen!$A$2:$I$39,9,0)="",0,VLOOKUP(K3,Materialen!$A$2:$I$39,9,0)),0)+N(N3)*IFERROR(IF(VLOOKUP(M3,Materialen!$A$2:$I$39,9,0)="",0,VLOOKUP(M3,Materialen!$A$2:$I$39,9,0)),0),2)</f>
        <v/>
      </c>
      <c r="Q3" s="5">
        <f>IF(G3="",0,IF(IFERROR(VLOOKUP(G3,Materialen!$A$2:$I$39,5,0),"N")="J",ROUND(N(H3)*(1+N(O3))*Instellingen!$B$8,2),0))</f>
        <v/>
      </c>
      <c r="R3" s="18" t="n"/>
      <c r="S3" s="5">
        <f>ROUND(N(R3)/60*Instellingen!$B$9,2)</f>
        <v/>
      </c>
      <c r="T3" s="14" t="n"/>
      <c r="U3" s="5">
        <f>P3+Q3+S3+N(T3)</f>
        <v/>
      </c>
      <c r="V3" s="5">
        <f>IF(AC3&lt;&gt;"OK","",F3-U3)</f>
        <v/>
      </c>
      <c r="W3" s="6">
        <f>IF(OR(F3=0,AC3&lt;&gt;"OK"),"",V3/F3)</f>
        <v/>
      </c>
      <c r="X3" s="5">
        <f>IF(N(H3)&gt;0,F3/H3,"")</f>
        <v/>
      </c>
      <c r="Y3" s="5">
        <f>IF(N(H3)&gt;0,IFERROR(IF(VLOOKUP(G3,Materialen!$A$2:$I$39,9,0)="",0,VLOOKUP(G3,Materialen!$A$2:$I$39,9,0)),0),"")</f>
        <v/>
      </c>
      <c r="Z3" s="5">
        <f>ROUND(E3*F3,2)</f>
        <v/>
      </c>
      <c r="AA3" s="5">
        <f>IF(AC3&lt;&gt;"OK","",ROUND(E3*U3,2))</f>
        <v/>
      </c>
      <c r="AB3" s="5">
        <f>IF(AC3&lt;&gt;"OK","",Z3-AA3)</f>
        <v/>
      </c>
      <c r="AC3" s="7">
        <f>IF((IF(G3="",0,IF(IFERROR(IF(VLOOKUP(G3,Materialen!$A$2:$I$39,9,0)="",0,VLOOKUP(G3,Materialen!$A$2:$I$39,9,0)),0)=0,1,0))+IF(I3="",0,IF(IFERROR(IF(VLOOKUP(I3,Materialen!$A$2:$I$39,9,0)="",0,VLOOKUP(I3,Materialen!$A$2:$I$39,9,0)),0)=0,1,0))+IF(K3="",0,IF(IFERROR(IF(VLOOKUP(K3,Materialen!$A$2:$I$39,9,0)="",0,VLOOKUP(K3,Materialen!$A$2:$I$39,9,0)),0)=0,1,0))+IF(M3="",0,IF(IFERROR(IF(VLOOKUP(M3,Materialen!$A$2:$I$39,9,0)="",0,VLOOKUP(M3,Materialen!$A$2:$I$39,9,0)),0)=0,1,0)))&gt;0,"aankoopprijs ontbreekt",IF(AND(G3="",K3="",N(T3)=0,N(R3)=0),"kost invullen (arbeid/overig)","OK"))</f>
        <v/>
      </c>
      <c r="AD3" s="7" t="inlineStr"/>
    </row>
    <row r="4">
      <c r="A4" s="7" t="n">
        <v>3</v>
      </c>
      <c r="B4" s="7" t="inlineStr">
        <is>
          <t>Impression quadrichromie sur toile 100% polyester - 300g/m² - white - M1 à coller sur mur (intérieur)</t>
        </is>
      </c>
      <c r="C4" s="7" t="inlineStr">
        <is>
          <t>&gt; 2 m² et &lt;= 5 m²</t>
        </is>
      </c>
      <c r="D4" s="7" t="inlineStr">
        <is>
          <t>m²</t>
        </is>
      </c>
      <c r="E4" s="7" t="n">
        <v>5</v>
      </c>
      <c r="F4" s="5" t="n">
        <v>38</v>
      </c>
      <c r="G4" s="7" t="inlineStr">
        <is>
          <t>M30</t>
        </is>
      </c>
      <c r="H4" s="20" t="n">
        <v>1</v>
      </c>
      <c r="I4" s="7" t="n"/>
      <c r="J4" s="20" t="n"/>
      <c r="K4" s="7" t="n"/>
      <c r="L4" s="7" t="n"/>
      <c r="M4" s="7" t="n"/>
      <c r="N4" s="7" t="n"/>
      <c r="O4" s="6">
        <f>IF(G4="","",IF(IFERROR(VLOOKUP(G4,Materialen!$A$2:$I$39,4,0),"")="plaat",Instellingen!$B$4,Instellingen!$B$3))</f>
        <v/>
      </c>
      <c r="P4" s="5">
        <f>ROUND(N(H4)*IFERROR(IF(VLOOKUP(G4,Materialen!$A$2:$I$39,9,0)="",0,VLOOKUP(G4,Materialen!$A$2:$I$39,9,0)),0)*(1+N(O4))+N(J4)*IFERROR(IF(VLOOKUP(I4,Materialen!$A$2:$I$39,9,0)="",0,VLOOKUP(I4,Materialen!$A$2:$I$39,9,0)),0)*(1+N(O4))+N(L4)*IFERROR(IF(VLOOKUP(K4,Materialen!$A$2:$I$39,9,0)="",0,VLOOKUP(K4,Materialen!$A$2:$I$39,9,0)),0)+N(N4)*IFERROR(IF(VLOOKUP(M4,Materialen!$A$2:$I$39,9,0)="",0,VLOOKUP(M4,Materialen!$A$2:$I$39,9,0)),0),2)</f>
        <v/>
      </c>
      <c r="Q4" s="5">
        <f>IF(G4="",0,IF(IFERROR(VLOOKUP(G4,Materialen!$A$2:$I$39,5,0),"N")="J",ROUND(N(H4)*(1+N(O4))*Instellingen!$B$8,2),0))</f>
        <v/>
      </c>
      <c r="R4" s="18" t="n"/>
      <c r="S4" s="5">
        <f>ROUND(N(R4)/60*Instellingen!$B$9,2)</f>
        <v/>
      </c>
      <c r="T4" s="14" t="n"/>
      <c r="U4" s="5">
        <f>P4+Q4+S4+N(T4)</f>
        <v/>
      </c>
      <c r="V4" s="5">
        <f>IF(AC4&lt;&gt;"OK","",F4-U4)</f>
        <v/>
      </c>
      <c r="W4" s="6">
        <f>IF(OR(F4=0,AC4&lt;&gt;"OK"),"",V4/F4)</f>
        <v/>
      </c>
      <c r="X4" s="5">
        <f>IF(N(H4)&gt;0,F4/H4,"")</f>
        <v/>
      </c>
      <c r="Y4" s="5">
        <f>IF(N(H4)&gt;0,IFERROR(IF(VLOOKUP(G4,Materialen!$A$2:$I$39,9,0)="",0,VLOOKUP(G4,Materialen!$A$2:$I$39,9,0)),0),"")</f>
        <v/>
      </c>
      <c r="Z4" s="5">
        <f>ROUND(E4*F4,2)</f>
        <v/>
      </c>
      <c r="AA4" s="5">
        <f>IF(AC4&lt;&gt;"OK","",ROUND(E4*U4,2))</f>
        <v/>
      </c>
      <c r="AB4" s="5">
        <f>IF(AC4&lt;&gt;"OK","",Z4-AA4)</f>
        <v/>
      </c>
      <c r="AC4" s="7">
        <f>IF((IF(G4="",0,IF(IFERROR(IF(VLOOKUP(G4,Materialen!$A$2:$I$39,9,0)="",0,VLOOKUP(G4,Materialen!$A$2:$I$39,9,0)),0)=0,1,0))+IF(I4="",0,IF(IFERROR(IF(VLOOKUP(I4,Materialen!$A$2:$I$39,9,0)="",0,VLOOKUP(I4,Materialen!$A$2:$I$39,9,0)),0)=0,1,0))+IF(K4="",0,IF(IFERROR(IF(VLOOKUP(K4,Materialen!$A$2:$I$39,9,0)="",0,VLOOKUP(K4,Materialen!$A$2:$I$39,9,0)),0)=0,1,0))+IF(M4="",0,IF(IFERROR(IF(VLOOKUP(M4,Materialen!$A$2:$I$39,9,0)="",0,VLOOKUP(M4,Materialen!$A$2:$I$39,9,0)),0)=0,1,0)))&gt;0,"aankoopprijs ontbreekt",IF(AND(G4="",K4="",N(T4)=0,N(R4)=0),"kost invullen (arbeid/overig)","OK"))</f>
        <v/>
      </c>
      <c r="AD4" s="7" t="inlineStr"/>
    </row>
    <row r="5">
      <c r="A5" s="7" t="n">
        <v>4</v>
      </c>
      <c r="B5" s="7" t="inlineStr">
        <is>
          <t>Impression quadrichromie sur toile 100% polyester - 300g/m² - white - M1 à coller sur mur (intérieur)</t>
        </is>
      </c>
      <c r="C5" s="7" t="inlineStr">
        <is>
          <t>&gt; 5 m² et &lt;= 10 m²</t>
        </is>
      </c>
      <c r="D5" s="7" t="inlineStr">
        <is>
          <t>m²</t>
        </is>
      </c>
      <c r="E5" s="7" t="n">
        <v>5</v>
      </c>
      <c r="F5" s="5" t="n">
        <v>34</v>
      </c>
      <c r="G5" s="7" t="inlineStr">
        <is>
          <t>M30</t>
        </is>
      </c>
      <c r="H5" s="20" t="n">
        <v>1</v>
      </c>
      <c r="I5" s="7" t="n"/>
      <c r="J5" s="20" t="n"/>
      <c r="K5" s="7" t="n"/>
      <c r="L5" s="7" t="n"/>
      <c r="M5" s="7" t="n"/>
      <c r="N5" s="7" t="n"/>
      <c r="O5" s="6">
        <f>IF(G5="","",IF(IFERROR(VLOOKUP(G5,Materialen!$A$2:$I$39,4,0),"")="plaat",Instellingen!$B$4,Instellingen!$B$3))</f>
        <v/>
      </c>
      <c r="P5" s="5">
        <f>ROUND(N(H5)*IFERROR(IF(VLOOKUP(G5,Materialen!$A$2:$I$39,9,0)="",0,VLOOKUP(G5,Materialen!$A$2:$I$39,9,0)),0)*(1+N(O5))+N(J5)*IFERROR(IF(VLOOKUP(I5,Materialen!$A$2:$I$39,9,0)="",0,VLOOKUP(I5,Materialen!$A$2:$I$39,9,0)),0)*(1+N(O5))+N(L5)*IFERROR(IF(VLOOKUP(K5,Materialen!$A$2:$I$39,9,0)="",0,VLOOKUP(K5,Materialen!$A$2:$I$39,9,0)),0)+N(N5)*IFERROR(IF(VLOOKUP(M5,Materialen!$A$2:$I$39,9,0)="",0,VLOOKUP(M5,Materialen!$A$2:$I$39,9,0)),0),2)</f>
        <v/>
      </c>
      <c r="Q5" s="5">
        <f>IF(G5="",0,IF(IFERROR(VLOOKUP(G5,Materialen!$A$2:$I$39,5,0),"N")="J",ROUND(N(H5)*(1+N(O5))*Instellingen!$B$8,2),0))</f>
        <v/>
      </c>
      <c r="R5" s="18" t="n"/>
      <c r="S5" s="5">
        <f>ROUND(N(R5)/60*Instellingen!$B$9,2)</f>
        <v/>
      </c>
      <c r="T5" s="14" t="n"/>
      <c r="U5" s="5">
        <f>P5+Q5+S5+N(T5)</f>
        <v/>
      </c>
      <c r="V5" s="5">
        <f>IF(AC5&lt;&gt;"OK","",F5-U5)</f>
        <v/>
      </c>
      <c r="W5" s="6">
        <f>IF(OR(F5=0,AC5&lt;&gt;"OK"),"",V5/F5)</f>
        <v/>
      </c>
      <c r="X5" s="5">
        <f>IF(N(H5)&gt;0,F5/H5,"")</f>
        <v/>
      </c>
      <c r="Y5" s="5">
        <f>IF(N(H5)&gt;0,IFERROR(IF(VLOOKUP(G5,Materialen!$A$2:$I$39,9,0)="",0,VLOOKUP(G5,Materialen!$A$2:$I$39,9,0)),0),"")</f>
        <v/>
      </c>
      <c r="Z5" s="5">
        <f>ROUND(E5*F5,2)</f>
        <v/>
      </c>
      <c r="AA5" s="5">
        <f>IF(AC5&lt;&gt;"OK","",ROUND(E5*U5,2))</f>
        <v/>
      </c>
      <c r="AB5" s="5">
        <f>IF(AC5&lt;&gt;"OK","",Z5-AA5)</f>
        <v/>
      </c>
      <c r="AC5" s="7">
        <f>IF((IF(G5="",0,IF(IFERROR(IF(VLOOKUP(G5,Materialen!$A$2:$I$39,9,0)="",0,VLOOKUP(G5,Materialen!$A$2:$I$39,9,0)),0)=0,1,0))+IF(I5="",0,IF(IFERROR(IF(VLOOKUP(I5,Materialen!$A$2:$I$39,9,0)="",0,VLOOKUP(I5,Materialen!$A$2:$I$39,9,0)),0)=0,1,0))+IF(K5="",0,IF(IFERROR(IF(VLOOKUP(K5,Materialen!$A$2:$I$39,9,0)="",0,VLOOKUP(K5,Materialen!$A$2:$I$39,9,0)),0)=0,1,0))+IF(M5="",0,IF(IFERROR(IF(VLOOKUP(M5,Materialen!$A$2:$I$39,9,0)="",0,VLOOKUP(M5,Materialen!$A$2:$I$39,9,0)),0)=0,1,0)))&gt;0,"aankoopprijs ontbreekt",IF(AND(G5="",K5="",N(T5)=0,N(R5)=0),"kost invullen (arbeid/overig)","OK"))</f>
        <v/>
      </c>
      <c r="AD5" s="7" t="inlineStr"/>
    </row>
    <row r="6">
      <c r="A6" s="7" t="n">
        <v>5</v>
      </c>
      <c r="B6" s="7" t="inlineStr">
        <is>
          <t>Impression quadrichromie sur toile 100% polyester - 300g/m² - white - M1 à coller sur mur (intérieur)</t>
        </is>
      </c>
      <c r="C6" s="7" t="inlineStr">
        <is>
          <t>&gt; 10 m² et &lt;= 25 m²</t>
        </is>
      </c>
      <c r="D6" s="7" t="inlineStr">
        <is>
          <t>m²</t>
        </is>
      </c>
      <c r="E6" s="7" t="n">
        <v>5</v>
      </c>
      <c r="F6" s="5" t="n">
        <v>30</v>
      </c>
      <c r="G6" s="7" t="inlineStr">
        <is>
          <t>M30</t>
        </is>
      </c>
      <c r="H6" s="20" t="n">
        <v>1</v>
      </c>
      <c r="I6" s="7" t="n"/>
      <c r="J6" s="20" t="n"/>
      <c r="K6" s="7" t="n"/>
      <c r="L6" s="7" t="n"/>
      <c r="M6" s="7" t="n"/>
      <c r="N6" s="7" t="n"/>
      <c r="O6" s="6">
        <f>IF(G6="","",IF(IFERROR(VLOOKUP(G6,Materialen!$A$2:$I$39,4,0),"")="plaat",Instellingen!$B$4,Instellingen!$B$3))</f>
        <v/>
      </c>
      <c r="P6" s="5">
        <f>ROUND(N(H6)*IFERROR(IF(VLOOKUP(G6,Materialen!$A$2:$I$39,9,0)="",0,VLOOKUP(G6,Materialen!$A$2:$I$39,9,0)),0)*(1+N(O6))+N(J6)*IFERROR(IF(VLOOKUP(I6,Materialen!$A$2:$I$39,9,0)="",0,VLOOKUP(I6,Materialen!$A$2:$I$39,9,0)),0)*(1+N(O6))+N(L6)*IFERROR(IF(VLOOKUP(K6,Materialen!$A$2:$I$39,9,0)="",0,VLOOKUP(K6,Materialen!$A$2:$I$39,9,0)),0)+N(N6)*IFERROR(IF(VLOOKUP(M6,Materialen!$A$2:$I$39,9,0)="",0,VLOOKUP(M6,Materialen!$A$2:$I$39,9,0)),0),2)</f>
        <v/>
      </c>
      <c r="Q6" s="5">
        <f>IF(G6="",0,IF(IFERROR(VLOOKUP(G6,Materialen!$A$2:$I$39,5,0),"N")="J",ROUND(N(H6)*(1+N(O6))*Instellingen!$B$8,2),0))</f>
        <v/>
      </c>
      <c r="R6" s="18" t="n"/>
      <c r="S6" s="5">
        <f>ROUND(N(R6)/60*Instellingen!$B$9,2)</f>
        <v/>
      </c>
      <c r="T6" s="14" t="n"/>
      <c r="U6" s="5">
        <f>P6+Q6+S6+N(T6)</f>
        <v/>
      </c>
      <c r="V6" s="5">
        <f>IF(AC6&lt;&gt;"OK","",F6-U6)</f>
        <v/>
      </c>
      <c r="W6" s="6">
        <f>IF(OR(F6=0,AC6&lt;&gt;"OK"),"",V6/F6)</f>
        <v/>
      </c>
      <c r="X6" s="5">
        <f>IF(N(H6)&gt;0,F6/H6,"")</f>
        <v/>
      </c>
      <c r="Y6" s="5">
        <f>IF(N(H6)&gt;0,IFERROR(IF(VLOOKUP(G6,Materialen!$A$2:$I$39,9,0)="",0,VLOOKUP(G6,Materialen!$A$2:$I$39,9,0)),0),"")</f>
        <v/>
      </c>
      <c r="Z6" s="5">
        <f>ROUND(E6*F6,2)</f>
        <v/>
      </c>
      <c r="AA6" s="5">
        <f>IF(AC6&lt;&gt;"OK","",ROUND(E6*U6,2))</f>
        <v/>
      </c>
      <c r="AB6" s="5">
        <f>IF(AC6&lt;&gt;"OK","",Z6-AA6)</f>
        <v/>
      </c>
      <c r="AC6" s="7">
        <f>IF((IF(G6="",0,IF(IFERROR(IF(VLOOKUP(G6,Materialen!$A$2:$I$39,9,0)="",0,VLOOKUP(G6,Materialen!$A$2:$I$39,9,0)),0)=0,1,0))+IF(I6="",0,IF(IFERROR(IF(VLOOKUP(I6,Materialen!$A$2:$I$39,9,0)="",0,VLOOKUP(I6,Materialen!$A$2:$I$39,9,0)),0)=0,1,0))+IF(K6="",0,IF(IFERROR(IF(VLOOKUP(K6,Materialen!$A$2:$I$39,9,0)="",0,VLOOKUP(K6,Materialen!$A$2:$I$39,9,0)),0)=0,1,0))+IF(M6="",0,IF(IFERROR(IF(VLOOKUP(M6,Materialen!$A$2:$I$39,9,0)="",0,VLOOKUP(M6,Materialen!$A$2:$I$39,9,0)),0)=0,1,0)))&gt;0,"aankoopprijs ontbreekt",IF(AND(G6="",K6="",N(T6)=0,N(R6)=0),"kost invullen (arbeid/overig)","OK"))</f>
        <v/>
      </c>
      <c r="AD6" s="7" t="inlineStr"/>
    </row>
    <row r="7">
      <c r="A7" s="7" t="n">
        <v>6</v>
      </c>
      <c r="B7" s="7" t="inlineStr">
        <is>
          <t>Impression quadrichromie sur toile 100% polyester - 300g/m² - white - M1 à coller sur mur (intérieur)</t>
        </is>
      </c>
      <c r="C7" s="7" t="inlineStr">
        <is>
          <t>&gt; 25 m²</t>
        </is>
      </c>
      <c r="D7" s="7" t="inlineStr">
        <is>
          <t>m²</t>
        </is>
      </c>
      <c r="E7" s="7" t="n">
        <v>5</v>
      </c>
      <c r="F7" s="5" t="n">
        <v>28</v>
      </c>
      <c r="G7" s="7" t="inlineStr">
        <is>
          <t>M30</t>
        </is>
      </c>
      <c r="H7" s="20" t="n">
        <v>1</v>
      </c>
      <c r="I7" s="7" t="n"/>
      <c r="J7" s="20" t="n"/>
      <c r="K7" s="7" t="n"/>
      <c r="L7" s="7" t="n"/>
      <c r="M7" s="7" t="n"/>
      <c r="N7" s="7" t="n"/>
      <c r="O7" s="6">
        <f>IF(G7="","",IF(IFERROR(VLOOKUP(G7,Materialen!$A$2:$I$39,4,0),"")="plaat",Instellingen!$B$4,Instellingen!$B$3))</f>
        <v/>
      </c>
      <c r="P7" s="5">
        <f>ROUND(N(H7)*IFERROR(IF(VLOOKUP(G7,Materialen!$A$2:$I$39,9,0)="",0,VLOOKUP(G7,Materialen!$A$2:$I$39,9,0)),0)*(1+N(O7))+N(J7)*IFERROR(IF(VLOOKUP(I7,Materialen!$A$2:$I$39,9,0)="",0,VLOOKUP(I7,Materialen!$A$2:$I$39,9,0)),0)*(1+N(O7))+N(L7)*IFERROR(IF(VLOOKUP(K7,Materialen!$A$2:$I$39,9,0)="",0,VLOOKUP(K7,Materialen!$A$2:$I$39,9,0)),0)+N(N7)*IFERROR(IF(VLOOKUP(M7,Materialen!$A$2:$I$39,9,0)="",0,VLOOKUP(M7,Materialen!$A$2:$I$39,9,0)),0),2)</f>
        <v/>
      </c>
      <c r="Q7" s="5">
        <f>IF(G7="",0,IF(IFERROR(VLOOKUP(G7,Materialen!$A$2:$I$39,5,0),"N")="J",ROUND(N(H7)*(1+N(O7))*Instellingen!$B$8,2),0))</f>
        <v/>
      </c>
      <c r="R7" s="18" t="n"/>
      <c r="S7" s="5">
        <f>ROUND(N(R7)/60*Instellingen!$B$9,2)</f>
        <v/>
      </c>
      <c r="T7" s="14" t="n"/>
      <c r="U7" s="5">
        <f>P7+Q7+S7+N(T7)</f>
        <v/>
      </c>
      <c r="V7" s="5">
        <f>IF(AC7&lt;&gt;"OK","",F7-U7)</f>
        <v/>
      </c>
      <c r="W7" s="6">
        <f>IF(OR(F7=0,AC7&lt;&gt;"OK"),"",V7/F7)</f>
        <v/>
      </c>
      <c r="X7" s="5">
        <f>IF(N(H7)&gt;0,F7/H7,"")</f>
        <v/>
      </c>
      <c r="Y7" s="5">
        <f>IF(N(H7)&gt;0,IFERROR(IF(VLOOKUP(G7,Materialen!$A$2:$I$39,9,0)="",0,VLOOKUP(G7,Materialen!$A$2:$I$39,9,0)),0),"")</f>
        <v/>
      </c>
      <c r="Z7" s="5">
        <f>ROUND(E7*F7,2)</f>
        <v/>
      </c>
      <c r="AA7" s="5">
        <f>IF(AC7&lt;&gt;"OK","",ROUND(E7*U7,2))</f>
        <v/>
      </c>
      <c r="AB7" s="5">
        <f>IF(AC7&lt;&gt;"OK","",Z7-AA7)</f>
        <v/>
      </c>
      <c r="AC7" s="7">
        <f>IF((IF(G7="",0,IF(IFERROR(IF(VLOOKUP(G7,Materialen!$A$2:$I$39,9,0)="",0,VLOOKUP(G7,Materialen!$A$2:$I$39,9,0)),0)=0,1,0))+IF(I7="",0,IF(IFERROR(IF(VLOOKUP(I7,Materialen!$A$2:$I$39,9,0)="",0,VLOOKUP(I7,Materialen!$A$2:$I$39,9,0)),0)=0,1,0))+IF(K7="",0,IF(IFERROR(IF(VLOOKUP(K7,Materialen!$A$2:$I$39,9,0)="",0,VLOOKUP(K7,Materialen!$A$2:$I$39,9,0)),0)=0,1,0))+IF(M7="",0,IF(IFERROR(IF(VLOOKUP(M7,Materialen!$A$2:$I$39,9,0)="",0,VLOOKUP(M7,Materialen!$A$2:$I$39,9,0)),0)=0,1,0)))&gt;0,"aankoopprijs ontbreekt",IF(AND(G7="",K7="",N(T7)=0,N(R7)=0),"kost invullen (arbeid/overig)","OK"))</f>
        <v/>
      </c>
      <c r="AD7" s="7" t="inlineStr"/>
    </row>
    <row r="8">
      <c r="A8" s="7" t="n">
        <v>7</v>
      </c>
      <c r="B8" s="7" t="inlineStr">
        <is>
          <t>Impression sur panneaux FOREX de 2mm</t>
        </is>
      </c>
      <c r="C8" s="7" t="inlineStr">
        <is>
          <t>&gt;= A2 et &lt;= 1 m²</t>
        </is>
      </c>
      <c r="D8" s="7" t="inlineStr">
        <is>
          <t>m²</t>
        </is>
      </c>
      <c r="E8" s="7" t="n">
        <v>5</v>
      </c>
      <c r="F8" s="5" t="n">
        <v>62</v>
      </c>
      <c r="G8" s="7" t="inlineStr">
        <is>
          <t>M31</t>
        </is>
      </c>
      <c r="H8" s="20" t="n">
        <v>1</v>
      </c>
      <c r="I8" s="7" t="n"/>
      <c r="J8" s="20" t="n"/>
      <c r="K8" s="7" t="n"/>
      <c r="L8" s="7" t="n"/>
      <c r="M8" s="7" t="n"/>
      <c r="N8" s="7" t="n"/>
      <c r="O8" s="6">
        <f>IF(G8="","",IF(IFERROR(VLOOKUP(G8,Materialen!$A$2:$I$39,4,0),"")="plaat",Instellingen!$B$4,Instellingen!$B$3))</f>
        <v/>
      </c>
      <c r="P8" s="5">
        <f>ROUND(N(H8)*IFERROR(IF(VLOOKUP(G8,Materialen!$A$2:$I$39,9,0)="",0,VLOOKUP(G8,Materialen!$A$2:$I$39,9,0)),0)*(1+N(O8))+N(J8)*IFERROR(IF(VLOOKUP(I8,Materialen!$A$2:$I$39,9,0)="",0,VLOOKUP(I8,Materialen!$A$2:$I$39,9,0)),0)*(1+N(O8))+N(L8)*IFERROR(IF(VLOOKUP(K8,Materialen!$A$2:$I$39,9,0)="",0,VLOOKUP(K8,Materialen!$A$2:$I$39,9,0)),0)+N(N8)*IFERROR(IF(VLOOKUP(M8,Materialen!$A$2:$I$39,9,0)="",0,VLOOKUP(M8,Materialen!$A$2:$I$39,9,0)),0),2)</f>
        <v/>
      </c>
      <c r="Q8" s="5">
        <f>IF(G8="",0,IF(IFERROR(VLOOKUP(G8,Materialen!$A$2:$I$39,5,0),"N")="J",ROUND(N(H8)*(1+N(O8))*Instellingen!$B$8,2),0))</f>
        <v/>
      </c>
      <c r="R8" s="18" t="n"/>
      <c r="S8" s="5">
        <f>ROUND(N(R8)/60*Instellingen!$B$9,2)</f>
        <v/>
      </c>
      <c r="T8" s="14" t="n"/>
      <c r="U8" s="5">
        <f>P8+Q8+S8+N(T8)</f>
        <v/>
      </c>
      <c r="V8" s="5">
        <f>IF(AC8&lt;&gt;"OK","",F8-U8)</f>
        <v/>
      </c>
      <c r="W8" s="6">
        <f>IF(OR(F8=0,AC8&lt;&gt;"OK"),"",V8/F8)</f>
        <v/>
      </c>
      <c r="X8" s="5">
        <f>IF(N(H8)&gt;0,F8/H8,"")</f>
        <v/>
      </c>
      <c r="Y8" s="5">
        <f>IF(N(H8)&gt;0,IFERROR(IF(VLOOKUP(G8,Materialen!$A$2:$I$39,9,0)="",0,VLOOKUP(G8,Materialen!$A$2:$I$39,9,0)),0),"")</f>
        <v/>
      </c>
      <c r="Z8" s="5">
        <f>ROUND(E8*F8,2)</f>
        <v/>
      </c>
      <c r="AA8" s="5">
        <f>IF(AC8&lt;&gt;"OK","",ROUND(E8*U8,2))</f>
        <v/>
      </c>
      <c r="AB8" s="5">
        <f>IF(AC8&lt;&gt;"OK","",Z8-AA8)</f>
        <v/>
      </c>
      <c r="AC8" s="7">
        <f>IF((IF(G8="",0,IF(IFERROR(IF(VLOOKUP(G8,Materialen!$A$2:$I$39,9,0)="",0,VLOOKUP(G8,Materialen!$A$2:$I$39,9,0)),0)=0,1,0))+IF(I8="",0,IF(IFERROR(IF(VLOOKUP(I8,Materialen!$A$2:$I$39,9,0)="",0,VLOOKUP(I8,Materialen!$A$2:$I$39,9,0)),0)=0,1,0))+IF(K8="",0,IF(IFERROR(IF(VLOOKUP(K8,Materialen!$A$2:$I$39,9,0)="",0,VLOOKUP(K8,Materialen!$A$2:$I$39,9,0)),0)=0,1,0))+IF(M8="",0,IF(IFERROR(IF(VLOOKUP(M8,Materialen!$A$2:$I$39,9,0)="",0,VLOOKUP(M8,Materialen!$A$2:$I$39,9,0)),0)=0,1,0)))&gt;0,"aankoopprijs ontbreekt",IF(AND(G8="",K8="",N(T8)=0,N(R8)=0),"kost invullen (arbeid/overig)","OK"))</f>
        <v/>
      </c>
      <c r="AD8" s="7" t="inlineStr"/>
    </row>
    <row r="9">
      <c r="A9" s="7" t="n">
        <v>8</v>
      </c>
      <c r="B9" s="7" t="inlineStr">
        <is>
          <t>Impression sur panneaux FOREX de 2mm</t>
        </is>
      </c>
      <c r="C9" s="7" t="inlineStr">
        <is>
          <t>&gt; 1 m² et &lt;= 2 m²</t>
        </is>
      </c>
      <c r="D9" s="7" t="inlineStr">
        <is>
          <t>m²</t>
        </is>
      </c>
      <c r="E9" s="7" t="n">
        <v>5</v>
      </c>
      <c r="F9" s="5" t="n">
        <v>52</v>
      </c>
      <c r="G9" s="7" t="inlineStr">
        <is>
          <t>M31</t>
        </is>
      </c>
      <c r="H9" s="20" t="n">
        <v>1</v>
      </c>
      <c r="I9" s="7" t="n"/>
      <c r="J9" s="20" t="n"/>
      <c r="K9" s="7" t="n"/>
      <c r="L9" s="7" t="n"/>
      <c r="M9" s="7" t="n"/>
      <c r="N9" s="7" t="n"/>
      <c r="O9" s="6">
        <f>IF(G9="","",IF(IFERROR(VLOOKUP(G9,Materialen!$A$2:$I$39,4,0),"")="plaat",Instellingen!$B$4,Instellingen!$B$3))</f>
        <v/>
      </c>
      <c r="P9" s="5">
        <f>ROUND(N(H9)*IFERROR(IF(VLOOKUP(G9,Materialen!$A$2:$I$39,9,0)="",0,VLOOKUP(G9,Materialen!$A$2:$I$39,9,0)),0)*(1+N(O9))+N(J9)*IFERROR(IF(VLOOKUP(I9,Materialen!$A$2:$I$39,9,0)="",0,VLOOKUP(I9,Materialen!$A$2:$I$39,9,0)),0)*(1+N(O9))+N(L9)*IFERROR(IF(VLOOKUP(K9,Materialen!$A$2:$I$39,9,0)="",0,VLOOKUP(K9,Materialen!$A$2:$I$39,9,0)),0)+N(N9)*IFERROR(IF(VLOOKUP(M9,Materialen!$A$2:$I$39,9,0)="",0,VLOOKUP(M9,Materialen!$A$2:$I$39,9,0)),0),2)</f>
        <v/>
      </c>
      <c r="Q9" s="5">
        <f>IF(G9="",0,IF(IFERROR(VLOOKUP(G9,Materialen!$A$2:$I$39,5,0),"N")="J",ROUND(N(H9)*(1+N(O9))*Instellingen!$B$8,2),0))</f>
        <v/>
      </c>
      <c r="R9" s="18" t="n"/>
      <c r="S9" s="5">
        <f>ROUND(N(R9)/60*Instellingen!$B$9,2)</f>
        <v/>
      </c>
      <c r="T9" s="14" t="n"/>
      <c r="U9" s="5">
        <f>P9+Q9+S9+N(T9)</f>
        <v/>
      </c>
      <c r="V9" s="5">
        <f>IF(AC9&lt;&gt;"OK","",F9-U9)</f>
        <v/>
      </c>
      <c r="W9" s="6">
        <f>IF(OR(F9=0,AC9&lt;&gt;"OK"),"",V9/F9)</f>
        <v/>
      </c>
      <c r="X9" s="5">
        <f>IF(N(H9)&gt;0,F9/H9,"")</f>
        <v/>
      </c>
      <c r="Y9" s="5">
        <f>IF(N(H9)&gt;0,IFERROR(IF(VLOOKUP(G9,Materialen!$A$2:$I$39,9,0)="",0,VLOOKUP(G9,Materialen!$A$2:$I$39,9,0)),0),"")</f>
        <v/>
      </c>
      <c r="Z9" s="5">
        <f>ROUND(E9*F9,2)</f>
        <v/>
      </c>
      <c r="AA9" s="5">
        <f>IF(AC9&lt;&gt;"OK","",ROUND(E9*U9,2))</f>
        <v/>
      </c>
      <c r="AB9" s="5">
        <f>IF(AC9&lt;&gt;"OK","",Z9-AA9)</f>
        <v/>
      </c>
      <c r="AC9" s="7">
        <f>IF((IF(G9="",0,IF(IFERROR(IF(VLOOKUP(G9,Materialen!$A$2:$I$39,9,0)="",0,VLOOKUP(G9,Materialen!$A$2:$I$39,9,0)),0)=0,1,0))+IF(I9="",0,IF(IFERROR(IF(VLOOKUP(I9,Materialen!$A$2:$I$39,9,0)="",0,VLOOKUP(I9,Materialen!$A$2:$I$39,9,0)),0)=0,1,0))+IF(K9="",0,IF(IFERROR(IF(VLOOKUP(K9,Materialen!$A$2:$I$39,9,0)="",0,VLOOKUP(K9,Materialen!$A$2:$I$39,9,0)),0)=0,1,0))+IF(M9="",0,IF(IFERROR(IF(VLOOKUP(M9,Materialen!$A$2:$I$39,9,0)="",0,VLOOKUP(M9,Materialen!$A$2:$I$39,9,0)),0)=0,1,0)))&gt;0,"aankoopprijs ontbreekt",IF(AND(G9="",K9="",N(T9)=0,N(R9)=0),"kost invullen (arbeid/overig)","OK"))</f>
        <v/>
      </c>
      <c r="AD9" s="7" t="inlineStr"/>
    </row>
    <row r="10">
      <c r="A10" s="7" t="n">
        <v>9</v>
      </c>
      <c r="B10" s="7" t="inlineStr">
        <is>
          <t>Impression sur panneaux FOREX de 2mm</t>
        </is>
      </c>
      <c r="C10" s="7" t="inlineStr">
        <is>
          <t>&gt; 2 m² et &lt;= 5 m²</t>
        </is>
      </c>
      <c r="D10" s="7" t="inlineStr">
        <is>
          <t>m²</t>
        </is>
      </c>
      <c r="E10" s="7" t="n">
        <v>5</v>
      </c>
      <c r="F10" s="5" t="n">
        <v>46</v>
      </c>
      <c r="G10" s="7" t="inlineStr">
        <is>
          <t>M31</t>
        </is>
      </c>
      <c r="H10" s="20" t="n">
        <v>1</v>
      </c>
      <c r="I10" s="7" t="n"/>
      <c r="J10" s="20" t="n"/>
      <c r="K10" s="7" t="n"/>
      <c r="L10" s="7" t="n"/>
      <c r="M10" s="7" t="n"/>
      <c r="N10" s="7" t="n"/>
      <c r="O10" s="6">
        <f>IF(G10="","",IF(IFERROR(VLOOKUP(G10,Materialen!$A$2:$I$39,4,0),"")="plaat",Instellingen!$B$4,Instellingen!$B$3))</f>
        <v/>
      </c>
      <c r="P10" s="5">
        <f>ROUND(N(H10)*IFERROR(IF(VLOOKUP(G10,Materialen!$A$2:$I$39,9,0)="",0,VLOOKUP(G10,Materialen!$A$2:$I$39,9,0)),0)*(1+N(O10))+N(J10)*IFERROR(IF(VLOOKUP(I10,Materialen!$A$2:$I$39,9,0)="",0,VLOOKUP(I10,Materialen!$A$2:$I$39,9,0)),0)*(1+N(O10))+N(L10)*IFERROR(IF(VLOOKUP(K10,Materialen!$A$2:$I$39,9,0)="",0,VLOOKUP(K10,Materialen!$A$2:$I$39,9,0)),0)+N(N10)*IFERROR(IF(VLOOKUP(M10,Materialen!$A$2:$I$39,9,0)="",0,VLOOKUP(M10,Materialen!$A$2:$I$39,9,0)),0),2)</f>
        <v/>
      </c>
      <c r="Q10" s="5">
        <f>IF(G10="",0,IF(IFERROR(VLOOKUP(G10,Materialen!$A$2:$I$39,5,0),"N")="J",ROUND(N(H10)*(1+N(O10))*Instellingen!$B$8,2),0))</f>
        <v/>
      </c>
      <c r="R10" s="18" t="n"/>
      <c r="S10" s="5">
        <f>ROUND(N(R10)/60*Instellingen!$B$9,2)</f>
        <v/>
      </c>
      <c r="T10" s="14" t="n"/>
      <c r="U10" s="5">
        <f>P10+Q10+S10+N(T10)</f>
        <v/>
      </c>
      <c r="V10" s="5">
        <f>IF(AC10&lt;&gt;"OK","",F10-U10)</f>
        <v/>
      </c>
      <c r="W10" s="6">
        <f>IF(OR(F10=0,AC10&lt;&gt;"OK"),"",V10/F10)</f>
        <v/>
      </c>
      <c r="X10" s="5">
        <f>IF(N(H10)&gt;0,F10/H10,"")</f>
        <v/>
      </c>
      <c r="Y10" s="5">
        <f>IF(N(H10)&gt;0,IFERROR(IF(VLOOKUP(G10,Materialen!$A$2:$I$39,9,0)="",0,VLOOKUP(G10,Materialen!$A$2:$I$39,9,0)),0),"")</f>
        <v/>
      </c>
      <c r="Z10" s="5">
        <f>ROUND(E10*F10,2)</f>
        <v/>
      </c>
      <c r="AA10" s="5">
        <f>IF(AC10&lt;&gt;"OK","",ROUND(E10*U10,2))</f>
        <v/>
      </c>
      <c r="AB10" s="5">
        <f>IF(AC10&lt;&gt;"OK","",Z10-AA10)</f>
        <v/>
      </c>
      <c r="AC10" s="7">
        <f>IF((IF(G10="",0,IF(IFERROR(IF(VLOOKUP(G10,Materialen!$A$2:$I$39,9,0)="",0,VLOOKUP(G10,Materialen!$A$2:$I$39,9,0)),0)=0,1,0))+IF(I10="",0,IF(IFERROR(IF(VLOOKUP(I10,Materialen!$A$2:$I$39,9,0)="",0,VLOOKUP(I10,Materialen!$A$2:$I$39,9,0)),0)=0,1,0))+IF(K10="",0,IF(IFERROR(IF(VLOOKUP(K10,Materialen!$A$2:$I$39,9,0)="",0,VLOOKUP(K10,Materialen!$A$2:$I$39,9,0)),0)=0,1,0))+IF(M10="",0,IF(IFERROR(IF(VLOOKUP(M10,Materialen!$A$2:$I$39,9,0)="",0,VLOOKUP(M10,Materialen!$A$2:$I$39,9,0)),0)=0,1,0)))&gt;0,"aankoopprijs ontbreekt",IF(AND(G10="",K10="",N(T10)=0,N(R10)=0),"kost invullen (arbeid/overig)","OK"))</f>
        <v/>
      </c>
      <c r="AD10" s="7" t="inlineStr"/>
    </row>
    <row r="11">
      <c r="A11" s="7" t="n">
        <v>10</v>
      </c>
      <c r="B11" s="7" t="inlineStr">
        <is>
          <t>Impression sur panneaux FOREX de 2mm</t>
        </is>
      </c>
      <c r="C11" s="7" t="inlineStr">
        <is>
          <t>&gt; 5 m² et &lt;= 10 m²</t>
        </is>
      </c>
      <c r="D11" s="7" t="inlineStr">
        <is>
          <t>m²</t>
        </is>
      </c>
      <c r="E11" s="7" t="n">
        <v>5</v>
      </c>
      <c r="F11" s="5" t="n">
        <v>40</v>
      </c>
      <c r="G11" s="7" t="inlineStr">
        <is>
          <t>M31</t>
        </is>
      </c>
      <c r="H11" s="20" t="n">
        <v>1</v>
      </c>
      <c r="I11" s="7" t="n"/>
      <c r="J11" s="20" t="n"/>
      <c r="K11" s="7" t="n"/>
      <c r="L11" s="7" t="n"/>
      <c r="M11" s="7" t="n"/>
      <c r="N11" s="7" t="n"/>
      <c r="O11" s="6">
        <f>IF(G11="","",IF(IFERROR(VLOOKUP(G11,Materialen!$A$2:$I$39,4,0),"")="plaat",Instellingen!$B$4,Instellingen!$B$3))</f>
        <v/>
      </c>
      <c r="P11" s="5">
        <f>ROUND(N(H11)*IFERROR(IF(VLOOKUP(G11,Materialen!$A$2:$I$39,9,0)="",0,VLOOKUP(G11,Materialen!$A$2:$I$39,9,0)),0)*(1+N(O11))+N(J11)*IFERROR(IF(VLOOKUP(I11,Materialen!$A$2:$I$39,9,0)="",0,VLOOKUP(I11,Materialen!$A$2:$I$39,9,0)),0)*(1+N(O11))+N(L11)*IFERROR(IF(VLOOKUP(K11,Materialen!$A$2:$I$39,9,0)="",0,VLOOKUP(K11,Materialen!$A$2:$I$39,9,0)),0)+N(N11)*IFERROR(IF(VLOOKUP(M11,Materialen!$A$2:$I$39,9,0)="",0,VLOOKUP(M11,Materialen!$A$2:$I$39,9,0)),0),2)</f>
        <v/>
      </c>
      <c r="Q11" s="5">
        <f>IF(G11="",0,IF(IFERROR(VLOOKUP(G11,Materialen!$A$2:$I$39,5,0),"N")="J",ROUND(N(H11)*(1+N(O11))*Instellingen!$B$8,2),0))</f>
        <v/>
      </c>
      <c r="R11" s="18" t="n"/>
      <c r="S11" s="5">
        <f>ROUND(N(R11)/60*Instellingen!$B$9,2)</f>
        <v/>
      </c>
      <c r="T11" s="14" t="n"/>
      <c r="U11" s="5">
        <f>P11+Q11+S11+N(T11)</f>
        <v/>
      </c>
      <c r="V11" s="5">
        <f>IF(AC11&lt;&gt;"OK","",F11-U11)</f>
        <v/>
      </c>
      <c r="W11" s="6">
        <f>IF(OR(F11=0,AC11&lt;&gt;"OK"),"",V11/F11)</f>
        <v/>
      </c>
      <c r="X11" s="5">
        <f>IF(N(H11)&gt;0,F11/H11,"")</f>
        <v/>
      </c>
      <c r="Y11" s="5">
        <f>IF(N(H11)&gt;0,IFERROR(IF(VLOOKUP(G11,Materialen!$A$2:$I$39,9,0)="",0,VLOOKUP(G11,Materialen!$A$2:$I$39,9,0)),0),"")</f>
        <v/>
      </c>
      <c r="Z11" s="5">
        <f>ROUND(E11*F11,2)</f>
        <v/>
      </c>
      <c r="AA11" s="5">
        <f>IF(AC11&lt;&gt;"OK","",ROUND(E11*U11,2))</f>
        <v/>
      </c>
      <c r="AB11" s="5">
        <f>IF(AC11&lt;&gt;"OK","",Z11-AA11)</f>
        <v/>
      </c>
      <c r="AC11" s="7">
        <f>IF((IF(G11="",0,IF(IFERROR(IF(VLOOKUP(G11,Materialen!$A$2:$I$39,9,0)="",0,VLOOKUP(G11,Materialen!$A$2:$I$39,9,0)),0)=0,1,0))+IF(I11="",0,IF(IFERROR(IF(VLOOKUP(I11,Materialen!$A$2:$I$39,9,0)="",0,VLOOKUP(I11,Materialen!$A$2:$I$39,9,0)),0)=0,1,0))+IF(K11="",0,IF(IFERROR(IF(VLOOKUP(K11,Materialen!$A$2:$I$39,9,0)="",0,VLOOKUP(K11,Materialen!$A$2:$I$39,9,0)),0)=0,1,0))+IF(M11="",0,IF(IFERROR(IF(VLOOKUP(M11,Materialen!$A$2:$I$39,9,0)="",0,VLOOKUP(M11,Materialen!$A$2:$I$39,9,0)),0)=0,1,0)))&gt;0,"aankoopprijs ontbreekt",IF(AND(G11="",K11="",N(T11)=0,N(R11)=0),"kost invullen (arbeid/overig)","OK"))</f>
        <v/>
      </c>
      <c r="AD11" s="7" t="inlineStr"/>
    </row>
    <row r="12">
      <c r="A12" s="7" t="n">
        <v>11</v>
      </c>
      <c r="B12" s="7" t="inlineStr">
        <is>
          <t>Impression sur panneaux FOREX de 2mm</t>
        </is>
      </c>
      <c r="C12" s="7" t="inlineStr">
        <is>
          <t>&gt; 10 m² et &lt;= 25 m²</t>
        </is>
      </c>
      <c r="D12" s="7" t="inlineStr">
        <is>
          <t>m²</t>
        </is>
      </c>
      <c r="E12" s="7" t="n">
        <v>5</v>
      </c>
      <c r="F12" s="5" t="n">
        <v>36</v>
      </c>
      <c r="G12" s="7" t="inlineStr">
        <is>
          <t>M31</t>
        </is>
      </c>
      <c r="H12" s="20" t="n">
        <v>1</v>
      </c>
      <c r="I12" s="7" t="n"/>
      <c r="J12" s="20" t="n"/>
      <c r="K12" s="7" t="n"/>
      <c r="L12" s="7" t="n"/>
      <c r="M12" s="7" t="n"/>
      <c r="N12" s="7" t="n"/>
      <c r="O12" s="6">
        <f>IF(G12="","",IF(IFERROR(VLOOKUP(G12,Materialen!$A$2:$I$39,4,0),"")="plaat",Instellingen!$B$4,Instellingen!$B$3))</f>
        <v/>
      </c>
      <c r="P12" s="5">
        <f>ROUND(N(H12)*IFERROR(IF(VLOOKUP(G12,Materialen!$A$2:$I$39,9,0)="",0,VLOOKUP(G12,Materialen!$A$2:$I$39,9,0)),0)*(1+N(O12))+N(J12)*IFERROR(IF(VLOOKUP(I12,Materialen!$A$2:$I$39,9,0)="",0,VLOOKUP(I12,Materialen!$A$2:$I$39,9,0)),0)*(1+N(O12))+N(L12)*IFERROR(IF(VLOOKUP(K12,Materialen!$A$2:$I$39,9,0)="",0,VLOOKUP(K12,Materialen!$A$2:$I$39,9,0)),0)+N(N12)*IFERROR(IF(VLOOKUP(M12,Materialen!$A$2:$I$39,9,0)="",0,VLOOKUP(M12,Materialen!$A$2:$I$39,9,0)),0),2)</f>
        <v/>
      </c>
      <c r="Q12" s="5">
        <f>IF(G12="",0,IF(IFERROR(VLOOKUP(G12,Materialen!$A$2:$I$39,5,0),"N")="J",ROUND(N(H12)*(1+N(O12))*Instellingen!$B$8,2),0))</f>
        <v/>
      </c>
      <c r="R12" s="18" t="n"/>
      <c r="S12" s="5">
        <f>ROUND(N(R12)/60*Instellingen!$B$9,2)</f>
        <v/>
      </c>
      <c r="T12" s="14" t="n"/>
      <c r="U12" s="5">
        <f>P12+Q12+S12+N(T12)</f>
        <v/>
      </c>
      <c r="V12" s="5">
        <f>IF(AC12&lt;&gt;"OK","",F12-U12)</f>
        <v/>
      </c>
      <c r="W12" s="6">
        <f>IF(OR(F12=0,AC12&lt;&gt;"OK"),"",V12/F12)</f>
        <v/>
      </c>
      <c r="X12" s="5">
        <f>IF(N(H12)&gt;0,F12/H12,"")</f>
        <v/>
      </c>
      <c r="Y12" s="5">
        <f>IF(N(H12)&gt;0,IFERROR(IF(VLOOKUP(G12,Materialen!$A$2:$I$39,9,0)="",0,VLOOKUP(G12,Materialen!$A$2:$I$39,9,0)),0),"")</f>
        <v/>
      </c>
      <c r="Z12" s="5">
        <f>ROUND(E12*F12,2)</f>
        <v/>
      </c>
      <c r="AA12" s="5">
        <f>IF(AC12&lt;&gt;"OK","",ROUND(E12*U12,2))</f>
        <v/>
      </c>
      <c r="AB12" s="5">
        <f>IF(AC12&lt;&gt;"OK","",Z12-AA12)</f>
        <v/>
      </c>
      <c r="AC12" s="7">
        <f>IF((IF(G12="",0,IF(IFERROR(IF(VLOOKUP(G12,Materialen!$A$2:$I$39,9,0)="",0,VLOOKUP(G12,Materialen!$A$2:$I$39,9,0)),0)=0,1,0))+IF(I12="",0,IF(IFERROR(IF(VLOOKUP(I12,Materialen!$A$2:$I$39,9,0)="",0,VLOOKUP(I12,Materialen!$A$2:$I$39,9,0)),0)=0,1,0))+IF(K12="",0,IF(IFERROR(IF(VLOOKUP(K12,Materialen!$A$2:$I$39,9,0)="",0,VLOOKUP(K12,Materialen!$A$2:$I$39,9,0)),0)=0,1,0))+IF(M12="",0,IF(IFERROR(IF(VLOOKUP(M12,Materialen!$A$2:$I$39,9,0)="",0,VLOOKUP(M12,Materialen!$A$2:$I$39,9,0)),0)=0,1,0)))&gt;0,"aankoopprijs ontbreekt",IF(AND(G12="",K12="",N(T12)=0,N(R12)=0),"kost invullen (arbeid/overig)","OK"))</f>
        <v/>
      </c>
      <c r="AD12" s="7" t="inlineStr"/>
    </row>
    <row r="13">
      <c r="A13" s="7" t="n">
        <v>12</v>
      </c>
      <c r="B13" s="7" t="inlineStr">
        <is>
          <t>Impression sur panneaux FOREX de 2mm</t>
        </is>
      </c>
      <c r="C13" s="7" t="inlineStr">
        <is>
          <t>&gt; 25 m²</t>
        </is>
      </c>
      <c r="D13" s="7" t="inlineStr">
        <is>
          <t>m²</t>
        </is>
      </c>
      <c r="E13" s="7" t="n">
        <v>5</v>
      </c>
      <c r="F13" s="5" t="n">
        <v>33</v>
      </c>
      <c r="G13" s="7" t="inlineStr">
        <is>
          <t>M31</t>
        </is>
      </c>
      <c r="H13" s="20" t="n">
        <v>1</v>
      </c>
      <c r="I13" s="7" t="n"/>
      <c r="J13" s="20" t="n"/>
      <c r="K13" s="7" t="n"/>
      <c r="L13" s="7" t="n"/>
      <c r="M13" s="7" t="n"/>
      <c r="N13" s="7" t="n"/>
      <c r="O13" s="6">
        <f>IF(G13="","",IF(IFERROR(VLOOKUP(G13,Materialen!$A$2:$I$39,4,0),"")="plaat",Instellingen!$B$4,Instellingen!$B$3))</f>
        <v/>
      </c>
      <c r="P13" s="5">
        <f>ROUND(N(H13)*IFERROR(IF(VLOOKUP(G13,Materialen!$A$2:$I$39,9,0)="",0,VLOOKUP(G13,Materialen!$A$2:$I$39,9,0)),0)*(1+N(O13))+N(J13)*IFERROR(IF(VLOOKUP(I13,Materialen!$A$2:$I$39,9,0)="",0,VLOOKUP(I13,Materialen!$A$2:$I$39,9,0)),0)*(1+N(O13))+N(L13)*IFERROR(IF(VLOOKUP(K13,Materialen!$A$2:$I$39,9,0)="",0,VLOOKUP(K13,Materialen!$A$2:$I$39,9,0)),0)+N(N13)*IFERROR(IF(VLOOKUP(M13,Materialen!$A$2:$I$39,9,0)="",0,VLOOKUP(M13,Materialen!$A$2:$I$39,9,0)),0),2)</f>
        <v/>
      </c>
      <c r="Q13" s="5">
        <f>IF(G13="",0,IF(IFERROR(VLOOKUP(G13,Materialen!$A$2:$I$39,5,0),"N")="J",ROUND(N(H13)*(1+N(O13))*Instellingen!$B$8,2),0))</f>
        <v/>
      </c>
      <c r="R13" s="18" t="n"/>
      <c r="S13" s="5">
        <f>ROUND(N(R13)/60*Instellingen!$B$9,2)</f>
        <v/>
      </c>
      <c r="T13" s="14" t="n"/>
      <c r="U13" s="5">
        <f>P13+Q13+S13+N(T13)</f>
        <v/>
      </c>
      <c r="V13" s="5">
        <f>IF(AC13&lt;&gt;"OK","",F13-U13)</f>
        <v/>
      </c>
      <c r="W13" s="6">
        <f>IF(OR(F13=0,AC13&lt;&gt;"OK"),"",V13/F13)</f>
        <v/>
      </c>
      <c r="X13" s="5">
        <f>IF(N(H13)&gt;0,F13/H13,"")</f>
        <v/>
      </c>
      <c r="Y13" s="5">
        <f>IF(N(H13)&gt;0,IFERROR(IF(VLOOKUP(G13,Materialen!$A$2:$I$39,9,0)="",0,VLOOKUP(G13,Materialen!$A$2:$I$39,9,0)),0),"")</f>
        <v/>
      </c>
      <c r="Z13" s="5">
        <f>ROUND(E13*F13,2)</f>
        <v/>
      </c>
      <c r="AA13" s="5">
        <f>IF(AC13&lt;&gt;"OK","",ROUND(E13*U13,2))</f>
        <v/>
      </c>
      <c r="AB13" s="5">
        <f>IF(AC13&lt;&gt;"OK","",Z13-AA13)</f>
        <v/>
      </c>
      <c r="AC13" s="7">
        <f>IF((IF(G13="",0,IF(IFERROR(IF(VLOOKUP(G13,Materialen!$A$2:$I$39,9,0)="",0,VLOOKUP(G13,Materialen!$A$2:$I$39,9,0)),0)=0,1,0))+IF(I13="",0,IF(IFERROR(IF(VLOOKUP(I13,Materialen!$A$2:$I$39,9,0)="",0,VLOOKUP(I13,Materialen!$A$2:$I$39,9,0)),0)=0,1,0))+IF(K13="",0,IF(IFERROR(IF(VLOOKUP(K13,Materialen!$A$2:$I$39,9,0)="",0,VLOOKUP(K13,Materialen!$A$2:$I$39,9,0)),0)=0,1,0))+IF(M13="",0,IF(IFERROR(IF(VLOOKUP(M13,Materialen!$A$2:$I$39,9,0)="",0,VLOOKUP(M13,Materialen!$A$2:$I$39,9,0)),0)=0,1,0)))&gt;0,"aankoopprijs ontbreekt",IF(AND(G13="",K13="",N(T13)=0,N(R13)=0),"kost invullen (arbeid/overig)","OK"))</f>
        <v/>
      </c>
      <c r="AD13" s="7" t="inlineStr"/>
    </row>
    <row r="14">
      <c r="A14" s="7" t="n">
        <v>13</v>
      </c>
      <c r="B14" s="7" t="inlineStr">
        <is>
          <t>Impression sur panneau FOREX de 3mm</t>
        </is>
      </c>
      <c r="C14" s="7" t="inlineStr">
        <is>
          <t>&gt;= A2 et &lt;= 1 m²</t>
        </is>
      </c>
      <c r="D14" s="7" t="inlineStr">
        <is>
          <t>m²</t>
        </is>
      </c>
      <c r="E14" s="7" t="n">
        <v>5</v>
      </c>
      <c r="F14" s="5" t="n">
        <v>68</v>
      </c>
      <c r="G14" s="7" t="inlineStr">
        <is>
          <t>M32</t>
        </is>
      </c>
      <c r="H14" s="20" t="n">
        <v>1</v>
      </c>
      <c r="I14" s="7" t="n"/>
      <c r="J14" s="20" t="n"/>
      <c r="K14" s="7" t="n"/>
      <c r="L14" s="7" t="n"/>
      <c r="M14" s="7" t="n"/>
      <c r="N14" s="7" t="n"/>
      <c r="O14" s="6">
        <f>IF(G14="","",IF(IFERROR(VLOOKUP(G14,Materialen!$A$2:$I$39,4,0),"")="plaat",Instellingen!$B$4,Instellingen!$B$3))</f>
        <v/>
      </c>
      <c r="P14" s="5">
        <f>ROUND(N(H14)*IFERROR(IF(VLOOKUP(G14,Materialen!$A$2:$I$39,9,0)="",0,VLOOKUP(G14,Materialen!$A$2:$I$39,9,0)),0)*(1+N(O14))+N(J14)*IFERROR(IF(VLOOKUP(I14,Materialen!$A$2:$I$39,9,0)="",0,VLOOKUP(I14,Materialen!$A$2:$I$39,9,0)),0)*(1+N(O14))+N(L14)*IFERROR(IF(VLOOKUP(K14,Materialen!$A$2:$I$39,9,0)="",0,VLOOKUP(K14,Materialen!$A$2:$I$39,9,0)),0)+N(N14)*IFERROR(IF(VLOOKUP(M14,Materialen!$A$2:$I$39,9,0)="",0,VLOOKUP(M14,Materialen!$A$2:$I$39,9,0)),0),2)</f>
        <v/>
      </c>
      <c r="Q14" s="5">
        <f>IF(G14="",0,IF(IFERROR(VLOOKUP(G14,Materialen!$A$2:$I$39,5,0),"N")="J",ROUND(N(H14)*(1+N(O14))*Instellingen!$B$8,2),0))</f>
        <v/>
      </c>
      <c r="R14" s="18" t="n"/>
      <c r="S14" s="5">
        <f>ROUND(N(R14)/60*Instellingen!$B$9,2)</f>
        <v/>
      </c>
      <c r="T14" s="14" t="n"/>
      <c r="U14" s="5">
        <f>P14+Q14+S14+N(T14)</f>
        <v/>
      </c>
      <c r="V14" s="5">
        <f>IF(AC14&lt;&gt;"OK","",F14-U14)</f>
        <v/>
      </c>
      <c r="W14" s="6">
        <f>IF(OR(F14=0,AC14&lt;&gt;"OK"),"",V14/F14)</f>
        <v/>
      </c>
      <c r="X14" s="5">
        <f>IF(N(H14)&gt;0,F14/H14,"")</f>
        <v/>
      </c>
      <c r="Y14" s="5">
        <f>IF(N(H14)&gt;0,IFERROR(IF(VLOOKUP(G14,Materialen!$A$2:$I$39,9,0)="",0,VLOOKUP(G14,Materialen!$A$2:$I$39,9,0)),0),"")</f>
        <v/>
      </c>
      <c r="Z14" s="5">
        <f>ROUND(E14*F14,2)</f>
        <v/>
      </c>
      <c r="AA14" s="5">
        <f>IF(AC14&lt;&gt;"OK","",ROUND(E14*U14,2))</f>
        <v/>
      </c>
      <c r="AB14" s="5">
        <f>IF(AC14&lt;&gt;"OK","",Z14-AA14)</f>
        <v/>
      </c>
      <c r="AC14" s="7">
        <f>IF((IF(G14="",0,IF(IFERROR(IF(VLOOKUP(G14,Materialen!$A$2:$I$39,9,0)="",0,VLOOKUP(G14,Materialen!$A$2:$I$39,9,0)),0)=0,1,0))+IF(I14="",0,IF(IFERROR(IF(VLOOKUP(I14,Materialen!$A$2:$I$39,9,0)="",0,VLOOKUP(I14,Materialen!$A$2:$I$39,9,0)),0)=0,1,0))+IF(K14="",0,IF(IFERROR(IF(VLOOKUP(K14,Materialen!$A$2:$I$39,9,0)="",0,VLOOKUP(K14,Materialen!$A$2:$I$39,9,0)),0)=0,1,0))+IF(M14="",0,IF(IFERROR(IF(VLOOKUP(M14,Materialen!$A$2:$I$39,9,0)="",0,VLOOKUP(M14,Materialen!$A$2:$I$39,9,0)),0)=0,1,0)))&gt;0,"aankoopprijs ontbreekt",IF(AND(G14="",K14="",N(T14)=0,N(R14)=0),"kost invullen (arbeid/overig)","OK"))</f>
        <v/>
      </c>
      <c r="AD14" s="7" t="inlineStr"/>
    </row>
    <row r="15">
      <c r="A15" s="7" t="n">
        <v>14</v>
      </c>
      <c r="B15" s="7" t="inlineStr">
        <is>
          <t>Impression sur panneau FOREX de 3mm</t>
        </is>
      </c>
      <c r="C15" s="7" t="inlineStr">
        <is>
          <t>&gt; 1 m² et &lt;= 2 m²</t>
        </is>
      </c>
      <c r="D15" s="7" t="inlineStr">
        <is>
          <t>m²</t>
        </is>
      </c>
      <c r="E15" s="7" t="n">
        <v>5</v>
      </c>
      <c r="F15" s="5" t="n">
        <v>57</v>
      </c>
      <c r="G15" s="7" t="inlineStr">
        <is>
          <t>M32</t>
        </is>
      </c>
      <c r="H15" s="20" t="n">
        <v>1</v>
      </c>
      <c r="I15" s="7" t="n"/>
      <c r="J15" s="20" t="n"/>
      <c r="K15" s="7" t="n"/>
      <c r="L15" s="7" t="n"/>
      <c r="M15" s="7" t="n"/>
      <c r="N15" s="7" t="n"/>
      <c r="O15" s="6">
        <f>IF(G15="","",IF(IFERROR(VLOOKUP(G15,Materialen!$A$2:$I$39,4,0),"")="plaat",Instellingen!$B$4,Instellingen!$B$3))</f>
        <v/>
      </c>
      <c r="P15" s="5">
        <f>ROUND(N(H15)*IFERROR(IF(VLOOKUP(G15,Materialen!$A$2:$I$39,9,0)="",0,VLOOKUP(G15,Materialen!$A$2:$I$39,9,0)),0)*(1+N(O15))+N(J15)*IFERROR(IF(VLOOKUP(I15,Materialen!$A$2:$I$39,9,0)="",0,VLOOKUP(I15,Materialen!$A$2:$I$39,9,0)),0)*(1+N(O15))+N(L15)*IFERROR(IF(VLOOKUP(K15,Materialen!$A$2:$I$39,9,0)="",0,VLOOKUP(K15,Materialen!$A$2:$I$39,9,0)),0)+N(N15)*IFERROR(IF(VLOOKUP(M15,Materialen!$A$2:$I$39,9,0)="",0,VLOOKUP(M15,Materialen!$A$2:$I$39,9,0)),0),2)</f>
        <v/>
      </c>
      <c r="Q15" s="5">
        <f>IF(G15="",0,IF(IFERROR(VLOOKUP(G15,Materialen!$A$2:$I$39,5,0),"N")="J",ROUND(N(H15)*(1+N(O15))*Instellingen!$B$8,2),0))</f>
        <v/>
      </c>
      <c r="R15" s="18" t="n"/>
      <c r="S15" s="5">
        <f>ROUND(N(R15)/60*Instellingen!$B$9,2)</f>
        <v/>
      </c>
      <c r="T15" s="14" t="n"/>
      <c r="U15" s="5">
        <f>P15+Q15+S15+N(T15)</f>
        <v/>
      </c>
      <c r="V15" s="5">
        <f>IF(AC15&lt;&gt;"OK","",F15-U15)</f>
        <v/>
      </c>
      <c r="W15" s="6">
        <f>IF(OR(F15=0,AC15&lt;&gt;"OK"),"",V15/F15)</f>
        <v/>
      </c>
      <c r="X15" s="5">
        <f>IF(N(H15)&gt;0,F15/H15,"")</f>
        <v/>
      </c>
      <c r="Y15" s="5">
        <f>IF(N(H15)&gt;0,IFERROR(IF(VLOOKUP(G15,Materialen!$A$2:$I$39,9,0)="",0,VLOOKUP(G15,Materialen!$A$2:$I$39,9,0)),0),"")</f>
        <v/>
      </c>
      <c r="Z15" s="5">
        <f>ROUND(E15*F15,2)</f>
        <v/>
      </c>
      <c r="AA15" s="5">
        <f>IF(AC15&lt;&gt;"OK","",ROUND(E15*U15,2))</f>
        <v/>
      </c>
      <c r="AB15" s="5">
        <f>IF(AC15&lt;&gt;"OK","",Z15-AA15)</f>
        <v/>
      </c>
      <c r="AC15" s="7">
        <f>IF((IF(G15="",0,IF(IFERROR(IF(VLOOKUP(G15,Materialen!$A$2:$I$39,9,0)="",0,VLOOKUP(G15,Materialen!$A$2:$I$39,9,0)),0)=0,1,0))+IF(I15="",0,IF(IFERROR(IF(VLOOKUP(I15,Materialen!$A$2:$I$39,9,0)="",0,VLOOKUP(I15,Materialen!$A$2:$I$39,9,0)),0)=0,1,0))+IF(K15="",0,IF(IFERROR(IF(VLOOKUP(K15,Materialen!$A$2:$I$39,9,0)="",0,VLOOKUP(K15,Materialen!$A$2:$I$39,9,0)),0)=0,1,0))+IF(M15="",0,IF(IFERROR(IF(VLOOKUP(M15,Materialen!$A$2:$I$39,9,0)="",0,VLOOKUP(M15,Materialen!$A$2:$I$39,9,0)),0)=0,1,0)))&gt;0,"aankoopprijs ontbreekt",IF(AND(G15="",K15="",N(T15)=0,N(R15)=0),"kost invullen (arbeid/overig)","OK"))</f>
        <v/>
      </c>
      <c r="AD15" s="7" t="inlineStr"/>
    </row>
    <row r="16">
      <c r="A16" s="7" t="n">
        <v>15</v>
      </c>
      <c r="B16" s="7" t="inlineStr">
        <is>
          <t>Impression sur panneau FOREX de 3mm</t>
        </is>
      </c>
      <c r="C16" s="7" t="inlineStr">
        <is>
          <t>&gt; 2 m² et &lt;= 5 m²</t>
        </is>
      </c>
      <c r="D16" s="7" t="inlineStr">
        <is>
          <t>m²</t>
        </is>
      </c>
      <c r="E16" s="7" t="n">
        <v>5</v>
      </c>
      <c r="F16" s="5" t="n">
        <v>50</v>
      </c>
      <c r="G16" s="7" t="inlineStr">
        <is>
          <t>M32</t>
        </is>
      </c>
      <c r="H16" s="20" t="n">
        <v>1</v>
      </c>
      <c r="I16" s="7" t="n"/>
      <c r="J16" s="20" t="n"/>
      <c r="K16" s="7" t="n"/>
      <c r="L16" s="7" t="n"/>
      <c r="M16" s="7" t="n"/>
      <c r="N16" s="7" t="n"/>
      <c r="O16" s="6">
        <f>IF(G16="","",IF(IFERROR(VLOOKUP(G16,Materialen!$A$2:$I$39,4,0),"")="plaat",Instellingen!$B$4,Instellingen!$B$3))</f>
        <v/>
      </c>
      <c r="P16" s="5">
        <f>ROUND(N(H16)*IFERROR(IF(VLOOKUP(G16,Materialen!$A$2:$I$39,9,0)="",0,VLOOKUP(G16,Materialen!$A$2:$I$39,9,0)),0)*(1+N(O16))+N(J16)*IFERROR(IF(VLOOKUP(I16,Materialen!$A$2:$I$39,9,0)="",0,VLOOKUP(I16,Materialen!$A$2:$I$39,9,0)),0)*(1+N(O16))+N(L16)*IFERROR(IF(VLOOKUP(K16,Materialen!$A$2:$I$39,9,0)="",0,VLOOKUP(K16,Materialen!$A$2:$I$39,9,0)),0)+N(N16)*IFERROR(IF(VLOOKUP(M16,Materialen!$A$2:$I$39,9,0)="",0,VLOOKUP(M16,Materialen!$A$2:$I$39,9,0)),0),2)</f>
        <v/>
      </c>
      <c r="Q16" s="5">
        <f>IF(G16="",0,IF(IFERROR(VLOOKUP(G16,Materialen!$A$2:$I$39,5,0),"N")="J",ROUND(N(H16)*(1+N(O16))*Instellingen!$B$8,2),0))</f>
        <v/>
      </c>
      <c r="R16" s="18" t="n"/>
      <c r="S16" s="5">
        <f>ROUND(N(R16)/60*Instellingen!$B$9,2)</f>
        <v/>
      </c>
      <c r="T16" s="14" t="n"/>
      <c r="U16" s="5">
        <f>P16+Q16+S16+N(T16)</f>
        <v/>
      </c>
      <c r="V16" s="5">
        <f>IF(AC16&lt;&gt;"OK","",F16-U16)</f>
        <v/>
      </c>
      <c r="W16" s="6">
        <f>IF(OR(F16=0,AC16&lt;&gt;"OK"),"",V16/F16)</f>
        <v/>
      </c>
      <c r="X16" s="5">
        <f>IF(N(H16)&gt;0,F16/H16,"")</f>
        <v/>
      </c>
      <c r="Y16" s="5">
        <f>IF(N(H16)&gt;0,IFERROR(IF(VLOOKUP(G16,Materialen!$A$2:$I$39,9,0)="",0,VLOOKUP(G16,Materialen!$A$2:$I$39,9,0)),0),"")</f>
        <v/>
      </c>
      <c r="Z16" s="5">
        <f>ROUND(E16*F16,2)</f>
        <v/>
      </c>
      <c r="AA16" s="5">
        <f>IF(AC16&lt;&gt;"OK","",ROUND(E16*U16,2))</f>
        <v/>
      </c>
      <c r="AB16" s="5">
        <f>IF(AC16&lt;&gt;"OK","",Z16-AA16)</f>
        <v/>
      </c>
      <c r="AC16" s="7">
        <f>IF((IF(G16="",0,IF(IFERROR(IF(VLOOKUP(G16,Materialen!$A$2:$I$39,9,0)="",0,VLOOKUP(G16,Materialen!$A$2:$I$39,9,0)),0)=0,1,0))+IF(I16="",0,IF(IFERROR(IF(VLOOKUP(I16,Materialen!$A$2:$I$39,9,0)="",0,VLOOKUP(I16,Materialen!$A$2:$I$39,9,0)),0)=0,1,0))+IF(K16="",0,IF(IFERROR(IF(VLOOKUP(K16,Materialen!$A$2:$I$39,9,0)="",0,VLOOKUP(K16,Materialen!$A$2:$I$39,9,0)),0)=0,1,0))+IF(M16="",0,IF(IFERROR(IF(VLOOKUP(M16,Materialen!$A$2:$I$39,9,0)="",0,VLOOKUP(M16,Materialen!$A$2:$I$39,9,0)),0)=0,1,0)))&gt;0,"aankoopprijs ontbreekt",IF(AND(G16="",K16="",N(T16)=0,N(R16)=0),"kost invullen (arbeid/overig)","OK"))</f>
        <v/>
      </c>
      <c r="AD16" s="7" t="inlineStr"/>
    </row>
    <row r="17">
      <c r="A17" s="7" t="n">
        <v>16</v>
      </c>
      <c r="B17" s="7" t="inlineStr">
        <is>
          <t>Impression sur panneau FOREX de 3mm</t>
        </is>
      </c>
      <c r="C17" s="7" t="inlineStr">
        <is>
          <t>&gt; 5 m² et &lt;= 10 m²</t>
        </is>
      </c>
      <c r="D17" s="7" t="inlineStr">
        <is>
          <t>m²</t>
        </is>
      </c>
      <c r="E17" s="7" t="n">
        <v>5</v>
      </c>
      <c r="F17" s="5" t="n">
        <v>44</v>
      </c>
      <c r="G17" s="7" t="inlineStr">
        <is>
          <t>M32</t>
        </is>
      </c>
      <c r="H17" s="20" t="n">
        <v>1</v>
      </c>
      <c r="I17" s="7" t="n"/>
      <c r="J17" s="20" t="n"/>
      <c r="K17" s="7" t="n"/>
      <c r="L17" s="7" t="n"/>
      <c r="M17" s="7" t="n"/>
      <c r="N17" s="7" t="n"/>
      <c r="O17" s="6">
        <f>IF(G17="","",IF(IFERROR(VLOOKUP(G17,Materialen!$A$2:$I$39,4,0),"")="plaat",Instellingen!$B$4,Instellingen!$B$3))</f>
        <v/>
      </c>
      <c r="P17" s="5">
        <f>ROUND(N(H17)*IFERROR(IF(VLOOKUP(G17,Materialen!$A$2:$I$39,9,0)="",0,VLOOKUP(G17,Materialen!$A$2:$I$39,9,0)),0)*(1+N(O17))+N(J17)*IFERROR(IF(VLOOKUP(I17,Materialen!$A$2:$I$39,9,0)="",0,VLOOKUP(I17,Materialen!$A$2:$I$39,9,0)),0)*(1+N(O17))+N(L17)*IFERROR(IF(VLOOKUP(K17,Materialen!$A$2:$I$39,9,0)="",0,VLOOKUP(K17,Materialen!$A$2:$I$39,9,0)),0)+N(N17)*IFERROR(IF(VLOOKUP(M17,Materialen!$A$2:$I$39,9,0)="",0,VLOOKUP(M17,Materialen!$A$2:$I$39,9,0)),0),2)</f>
        <v/>
      </c>
      <c r="Q17" s="5">
        <f>IF(G17="",0,IF(IFERROR(VLOOKUP(G17,Materialen!$A$2:$I$39,5,0),"N")="J",ROUND(N(H17)*(1+N(O17))*Instellingen!$B$8,2),0))</f>
        <v/>
      </c>
      <c r="R17" s="18" t="n"/>
      <c r="S17" s="5">
        <f>ROUND(N(R17)/60*Instellingen!$B$9,2)</f>
        <v/>
      </c>
      <c r="T17" s="14" t="n"/>
      <c r="U17" s="5">
        <f>P17+Q17+S17+N(T17)</f>
        <v/>
      </c>
      <c r="V17" s="5">
        <f>IF(AC17&lt;&gt;"OK","",F17-U17)</f>
        <v/>
      </c>
      <c r="W17" s="6">
        <f>IF(OR(F17=0,AC17&lt;&gt;"OK"),"",V17/F17)</f>
        <v/>
      </c>
      <c r="X17" s="5">
        <f>IF(N(H17)&gt;0,F17/H17,"")</f>
        <v/>
      </c>
      <c r="Y17" s="5">
        <f>IF(N(H17)&gt;0,IFERROR(IF(VLOOKUP(G17,Materialen!$A$2:$I$39,9,0)="",0,VLOOKUP(G17,Materialen!$A$2:$I$39,9,0)),0),"")</f>
        <v/>
      </c>
      <c r="Z17" s="5">
        <f>ROUND(E17*F17,2)</f>
        <v/>
      </c>
      <c r="AA17" s="5">
        <f>IF(AC17&lt;&gt;"OK","",ROUND(E17*U17,2))</f>
        <v/>
      </c>
      <c r="AB17" s="5">
        <f>IF(AC17&lt;&gt;"OK","",Z17-AA17)</f>
        <v/>
      </c>
      <c r="AC17" s="7">
        <f>IF((IF(G17="",0,IF(IFERROR(IF(VLOOKUP(G17,Materialen!$A$2:$I$39,9,0)="",0,VLOOKUP(G17,Materialen!$A$2:$I$39,9,0)),0)=0,1,0))+IF(I17="",0,IF(IFERROR(IF(VLOOKUP(I17,Materialen!$A$2:$I$39,9,0)="",0,VLOOKUP(I17,Materialen!$A$2:$I$39,9,0)),0)=0,1,0))+IF(K17="",0,IF(IFERROR(IF(VLOOKUP(K17,Materialen!$A$2:$I$39,9,0)="",0,VLOOKUP(K17,Materialen!$A$2:$I$39,9,0)),0)=0,1,0))+IF(M17="",0,IF(IFERROR(IF(VLOOKUP(M17,Materialen!$A$2:$I$39,9,0)="",0,VLOOKUP(M17,Materialen!$A$2:$I$39,9,0)),0)=0,1,0)))&gt;0,"aankoopprijs ontbreekt",IF(AND(G17="",K17="",N(T17)=0,N(R17)=0),"kost invullen (arbeid/overig)","OK"))</f>
        <v/>
      </c>
      <c r="AD17" s="7" t="inlineStr"/>
    </row>
    <row r="18">
      <c r="A18" s="7" t="n">
        <v>17</v>
      </c>
      <c r="B18" s="7" t="inlineStr">
        <is>
          <t>Impression sur panneau FOREX de 3mm</t>
        </is>
      </c>
      <c r="C18" s="7" t="inlineStr">
        <is>
          <t>&gt; 10 m² et &lt;= 25 m²</t>
        </is>
      </c>
      <c r="D18" s="7" t="inlineStr">
        <is>
          <t>m²</t>
        </is>
      </c>
      <c r="E18" s="7" t="n">
        <v>5</v>
      </c>
      <c r="F18" s="5" t="n">
        <v>40</v>
      </c>
      <c r="G18" s="7" t="inlineStr">
        <is>
          <t>M32</t>
        </is>
      </c>
      <c r="H18" s="20" t="n">
        <v>1</v>
      </c>
      <c r="I18" s="7" t="n"/>
      <c r="J18" s="20" t="n"/>
      <c r="K18" s="7" t="n"/>
      <c r="L18" s="7" t="n"/>
      <c r="M18" s="7" t="n"/>
      <c r="N18" s="7" t="n"/>
      <c r="O18" s="6">
        <f>IF(G18="","",IF(IFERROR(VLOOKUP(G18,Materialen!$A$2:$I$39,4,0),"")="plaat",Instellingen!$B$4,Instellingen!$B$3))</f>
        <v/>
      </c>
      <c r="P18" s="5">
        <f>ROUND(N(H18)*IFERROR(IF(VLOOKUP(G18,Materialen!$A$2:$I$39,9,0)="",0,VLOOKUP(G18,Materialen!$A$2:$I$39,9,0)),0)*(1+N(O18))+N(J18)*IFERROR(IF(VLOOKUP(I18,Materialen!$A$2:$I$39,9,0)="",0,VLOOKUP(I18,Materialen!$A$2:$I$39,9,0)),0)*(1+N(O18))+N(L18)*IFERROR(IF(VLOOKUP(K18,Materialen!$A$2:$I$39,9,0)="",0,VLOOKUP(K18,Materialen!$A$2:$I$39,9,0)),0)+N(N18)*IFERROR(IF(VLOOKUP(M18,Materialen!$A$2:$I$39,9,0)="",0,VLOOKUP(M18,Materialen!$A$2:$I$39,9,0)),0),2)</f>
        <v/>
      </c>
      <c r="Q18" s="5">
        <f>IF(G18="",0,IF(IFERROR(VLOOKUP(G18,Materialen!$A$2:$I$39,5,0),"N")="J",ROUND(N(H18)*(1+N(O18))*Instellingen!$B$8,2),0))</f>
        <v/>
      </c>
      <c r="R18" s="18" t="n"/>
      <c r="S18" s="5">
        <f>ROUND(N(R18)/60*Instellingen!$B$9,2)</f>
        <v/>
      </c>
      <c r="T18" s="14" t="n"/>
      <c r="U18" s="5">
        <f>P18+Q18+S18+N(T18)</f>
        <v/>
      </c>
      <c r="V18" s="5">
        <f>IF(AC18&lt;&gt;"OK","",F18-U18)</f>
        <v/>
      </c>
      <c r="W18" s="6">
        <f>IF(OR(F18=0,AC18&lt;&gt;"OK"),"",V18/F18)</f>
        <v/>
      </c>
      <c r="X18" s="5">
        <f>IF(N(H18)&gt;0,F18/H18,"")</f>
        <v/>
      </c>
      <c r="Y18" s="5">
        <f>IF(N(H18)&gt;0,IFERROR(IF(VLOOKUP(G18,Materialen!$A$2:$I$39,9,0)="",0,VLOOKUP(G18,Materialen!$A$2:$I$39,9,0)),0),"")</f>
        <v/>
      </c>
      <c r="Z18" s="5">
        <f>ROUND(E18*F18,2)</f>
        <v/>
      </c>
      <c r="AA18" s="5">
        <f>IF(AC18&lt;&gt;"OK","",ROUND(E18*U18,2))</f>
        <v/>
      </c>
      <c r="AB18" s="5">
        <f>IF(AC18&lt;&gt;"OK","",Z18-AA18)</f>
        <v/>
      </c>
      <c r="AC18" s="7">
        <f>IF((IF(G18="",0,IF(IFERROR(IF(VLOOKUP(G18,Materialen!$A$2:$I$39,9,0)="",0,VLOOKUP(G18,Materialen!$A$2:$I$39,9,0)),0)=0,1,0))+IF(I18="",0,IF(IFERROR(IF(VLOOKUP(I18,Materialen!$A$2:$I$39,9,0)="",0,VLOOKUP(I18,Materialen!$A$2:$I$39,9,0)),0)=0,1,0))+IF(K18="",0,IF(IFERROR(IF(VLOOKUP(K18,Materialen!$A$2:$I$39,9,0)="",0,VLOOKUP(K18,Materialen!$A$2:$I$39,9,0)),0)=0,1,0))+IF(M18="",0,IF(IFERROR(IF(VLOOKUP(M18,Materialen!$A$2:$I$39,9,0)="",0,VLOOKUP(M18,Materialen!$A$2:$I$39,9,0)),0)=0,1,0)))&gt;0,"aankoopprijs ontbreekt",IF(AND(G18="",K18="",N(T18)=0,N(R18)=0),"kost invullen (arbeid/overig)","OK"))</f>
        <v/>
      </c>
      <c r="AD18" s="7" t="inlineStr"/>
    </row>
    <row r="19">
      <c r="A19" s="7" t="n">
        <v>18</v>
      </c>
      <c r="B19" s="7" t="inlineStr">
        <is>
          <t>Impression sur panneau FOREX de 3mm</t>
        </is>
      </c>
      <c r="C19" s="7" t="inlineStr">
        <is>
          <t>&gt; 25 m²</t>
        </is>
      </c>
      <c r="D19" s="7" t="inlineStr">
        <is>
          <t>m²</t>
        </is>
      </c>
      <c r="E19" s="7" t="n">
        <v>5</v>
      </c>
      <c r="F19" s="5" t="n">
        <v>36</v>
      </c>
      <c r="G19" s="7" t="inlineStr">
        <is>
          <t>M32</t>
        </is>
      </c>
      <c r="H19" s="20" t="n">
        <v>1</v>
      </c>
      <c r="I19" s="7" t="n"/>
      <c r="J19" s="20" t="n"/>
      <c r="K19" s="7" t="n"/>
      <c r="L19" s="7" t="n"/>
      <c r="M19" s="7" t="n"/>
      <c r="N19" s="7" t="n"/>
      <c r="O19" s="6">
        <f>IF(G19="","",IF(IFERROR(VLOOKUP(G19,Materialen!$A$2:$I$39,4,0),"")="plaat",Instellingen!$B$4,Instellingen!$B$3))</f>
        <v/>
      </c>
      <c r="P19" s="5">
        <f>ROUND(N(H19)*IFERROR(IF(VLOOKUP(G19,Materialen!$A$2:$I$39,9,0)="",0,VLOOKUP(G19,Materialen!$A$2:$I$39,9,0)),0)*(1+N(O19))+N(J19)*IFERROR(IF(VLOOKUP(I19,Materialen!$A$2:$I$39,9,0)="",0,VLOOKUP(I19,Materialen!$A$2:$I$39,9,0)),0)*(1+N(O19))+N(L19)*IFERROR(IF(VLOOKUP(K19,Materialen!$A$2:$I$39,9,0)="",0,VLOOKUP(K19,Materialen!$A$2:$I$39,9,0)),0)+N(N19)*IFERROR(IF(VLOOKUP(M19,Materialen!$A$2:$I$39,9,0)="",0,VLOOKUP(M19,Materialen!$A$2:$I$39,9,0)),0),2)</f>
        <v/>
      </c>
      <c r="Q19" s="5">
        <f>IF(G19="",0,IF(IFERROR(VLOOKUP(G19,Materialen!$A$2:$I$39,5,0),"N")="J",ROUND(N(H19)*(1+N(O19))*Instellingen!$B$8,2),0))</f>
        <v/>
      </c>
      <c r="R19" s="18" t="n"/>
      <c r="S19" s="5">
        <f>ROUND(N(R19)/60*Instellingen!$B$9,2)</f>
        <v/>
      </c>
      <c r="T19" s="14" t="n"/>
      <c r="U19" s="5">
        <f>P19+Q19+S19+N(T19)</f>
        <v/>
      </c>
      <c r="V19" s="5">
        <f>IF(AC19&lt;&gt;"OK","",F19-U19)</f>
        <v/>
      </c>
      <c r="W19" s="6">
        <f>IF(OR(F19=0,AC19&lt;&gt;"OK"),"",V19/F19)</f>
        <v/>
      </c>
      <c r="X19" s="5">
        <f>IF(N(H19)&gt;0,F19/H19,"")</f>
        <v/>
      </c>
      <c r="Y19" s="5">
        <f>IF(N(H19)&gt;0,IFERROR(IF(VLOOKUP(G19,Materialen!$A$2:$I$39,9,0)="",0,VLOOKUP(G19,Materialen!$A$2:$I$39,9,0)),0),"")</f>
        <v/>
      </c>
      <c r="Z19" s="5">
        <f>ROUND(E19*F19,2)</f>
        <v/>
      </c>
      <c r="AA19" s="5">
        <f>IF(AC19&lt;&gt;"OK","",ROUND(E19*U19,2))</f>
        <v/>
      </c>
      <c r="AB19" s="5">
        <f>IF(AC19&lt;&gt;"OK","",Z19-AA19)</f>
        <v/>
      </c>
      <c r="AC19" s="7">
        <f>IF((IF(G19="",0,IF(IFERROR(IF(VLOOKUP(G19,Materialen!$A$2:$I$39,9,0)="",0,VLOOKUP(G19,Materialen!$A$2:$I$39,9,0)),0)=0,1,0))+IF(I19="",0,IF(IFERROR(IF(VLOOKUP(I19,Materialen!$A$2:$I$39,9,0)="",0,VLOOKUP(I19,Materialen!$A$2:$I$39,9,0)),0)=0,1,0))+IF(K19="",0,IF(IFERROR(IF(VLOOKUP(K19,Materialen!$A$2:$I$39,9,0)="",0,VLOOKUP(K19,Materialen!$A$2:$I$39,9,0)),0)=0,1,0))+IF(M19="",0,IF(IFERROR(IF(VLOOKUP(M19,Materialen!$A$2:$I$39,9,0)="",0,VLOOKUP(M19,Materialen!$A$2:$I$39,9,0)),0)=0,1,0)))&gt;0,"aankoopprijs ontbreekt",IF(AND(G19="",K19="",N(T19)=0,N(R19)=0),"kost invullen (arbeid/overig)","OK"))</f>
        <v/>
      </c>
      <c r="AD19" s="7" t="inlineStr"/>
    </row>
    <row r="20">
      <c r="A20" s="7" t="n">
        <v>19</v>
      </c>
      <c r="B20" s="7" t="inlineStr">
        <is>
          <t>Impression sur panneau FOREX de 5mm</t>
        </is>
      </c>
      <c r="C20" s="7" t="inlineStr">
        <is>
          <t>&gt;= A2 et &lt;= 1 m²</t>
        </is>
      </c>
      <c r="D20" s="7" t="inlineStr">
        <is>
          <t>m²</t>
        </is>
      </c>
      <c r="E20" s="7" t="n">
        <v>5</v>
      </c>
      <c r="F20" s="5" t="n">
        <v>80</v>
      </c>
      <c r="G20" s="7" t="inlineStr">
        <is>
          <t>M33</t>
        </is>
      </c>
      <c r="H20" s="20" t="n">
        <v>1</v>
      </c>
      <c r="I20" s="7" t="n"/>
      <c r="J20" s="20" t="n"/>
      <c r="K20" s="7" t="n"/>
      <c r="L20" s="7" t="n"/>
      <c r="M20" s="7" t="n"/>
      <c r="N20" s="7" t="n"/>
      <c r="O20" s="6">
        <f>IF(G20="","",IF(IFERROR(VLOOKUP(G20,Materialen!$A$2:$I$39,4,0),"")="plaat",Instellingen!$B$4,Instellingen!$B$3))</f>
        <v/>
      </c>
      <c r="P20" s="5">
        <f>ROUND(N(H20)*IFERROR(IF(VLOOKUP(G20,Materialen!$A$2:$I$39,9,0)="",0,VLOOKUP(G20,Materialen!$A$2:$I$39,9,0)),0)*(1+N(O20))+N(J20)*IFERROR(IF(VLOOKUP(I20,Materialen!$A$2:$I$39,9,0)="",0,VLOOKUP(I20,Materialen!$A$2:$I$39,9,0)),0)*(1+N(O20))+N(L20)*IFERROR(IF(VLOOKUP(K20,Materialen!$A$2:$I$39,9,0)="",0,VLOOKUP(K20,Materialen!$A$2:$I$39,9,0)),0)+N(N20)*IFERROR(IF(VLOOKUP(M20,Materialen!$A$2:$I$39,9,0)="",0,VLOOKUP(M20,Materialen!$A$2:$I$39,9,0)),0),2)</f>
        <v/>
      </c>
      <c r="Q20" s="5">
        <f>IF(G20="",0,IF(IFERROR(VLOOKUP(G20,Materialen!$A$2:$I$39,5,0),"N")="J",ROUND(N(H20)*(1+N(O20))*Instellingen!$B$8,2),0))</f>
        <v/>
      </c>
      <c r="R20" s="18" t="n"/>
      <c r="S20" s="5">
        <f>ROUND(N(R20)/60*Instellingen!$B$9,2)</f>
        <v/>
      </c>
      <c r="T20" s="14" t="n"/>
      <c r="U20" s="5">
        <f>P20+Q20+S20+N(T20)</f>
        <v/>
      </c>
      <c r="V20" s="5">
        <f>IF(AC20&lt;&gt;"OK","",F20-U20)</f>
        <v/>
      </c>
      <c r="W20" s="6">
        <f>IF(OR(F20=0,AC20&lt;&gt;"OK"),"",V20/F20)</f>
        <v/>
      </c>
      <c r="X20" s="5">
        <f>IF(N(H20)&gt;0,F20/H20,"")</f>
        <v/>
      </c>
      <c r="Y20" s="5">
        <f>IF(N(H20)&gt;0,IFERROR(IF(VLOOKUP(G20,Materialen!$A$2:$I$39,9,0)="",0,VLOOKUP(G20,Materialen!$A$2:$I$39,9,0)),0),"")</f>
        <v/>
      </c>
      <c r="Z20" s="5">
        <f>ROUND(E20*F20,2)</f>
        <v/>
      </c>
      <c r="AA20" s="5">
        <f>IF(AC20&lt;&gt;"OK","",ROUND(E20*U20,2))</f>
        <v/>
      </c>
      <c r="AB20" s="5">
        <f>IF(AC20&lt;&gt;"OK","",Z20-AA20)</f>
        <v/>
      </c>
      <c r="AC20" s="7">
        <f>IF((IF(G20="",0,IF(IFERROR(IF(VLOOKUP(G20,Materialen!$A$2:$I$39,9,0)="",0,VLOOKUP(G20,Materialen!$A$2:$I$39,9,0)),0)=0,1,0))+IF(I20="",0,IF(IFERROR(IF(VLOOKUP(I20,Materialen!$A$2:$I$39,9,0)="",0,VLOOKUP(I20,Materialen!$A$2:$I$39,9,0)),0)=0,1,0))+IF(K20="",0,IF(IFERROR(IF(VLOOKUP(K20,Materialen!$A$2:$I$39,9,0)="",0,VLOOKUP(K20,Materialen!$A$2:$I$39,9,0)),0)=0,1,0))+IF(M20="",0,IF(IFERROR(IF(VLOOKUP(M20,Materialen!$A$2:$I$39,9,0)="",0,VLOOKUP(M20,Materialen!$A$2:$I$39,9,0)),0)=0,1,0)))&gt;0,"aankoopprijs ontbreekt",IF(AND(G20="",K20="",N(T20)=0,N(R20)=0),"kost invullen (arbeid/overig)","OK"))</f>
        <v/>
      </c>
      <c r="AD20" s="7" t="inlineStr"/>
    </row>
    <row r="21">
      <c r="A21" s="7" t="n">
        <v>20</v>
      </c>
      <c r="B21" s="7" t="inlineStr">
        <is>
          <t>Impression sur panneau FOREX de 5mm</t>
        </is>
      </c>
      <c r="C21" s="7" t="inlineStr">
        <is>
          <t>&gt; 1 m² et &lt;= 2 m²</t>
        </is>
      </c>
      <c r="D21" s="7" t="inlineStr">
        <is>
          <t>m²</t>
        </is>
      </c>
      <c r="E21" s="7" t="n">
        <v>5</v>
      </c>
      <c r="F21" s="5" t="n">
        <v>66</v>
      </c>
      <c r="G21" s="7" t="inlineStr">
        <is>
          <t>M33</t>
        </is>
      </c>
      <c r="H21" s="20" t="n">
        <v>1</v>
      </c>
      <c r="I21" s="7" t="n"/>
      <c r="J21" s="20" t="n"/>
      <c r="K21" s="7" t="n"/>
      <c r="L21" s="7" t="n"/>
      <c r="M21" s="7" t="n"/>
      <c r="N21" s="7" t="n"/>
      <c r="O21" s="6">
        <f>IF(G21="","",IF(IFERROR(VLOOKUP(G21,Materialen!$A$2:$I$39,4,0),"")="plaat",Instellingen!$B$4,Instellingen!$B$3))</f>
        <v/>
      </c>
      <c r="P21" s="5">
        <f>ROUND(N(H21)*IFERROR(IF(VLOOKUP(G21,Materialen!$A$2:$I$39,9,0)="",0,VLOOKUP(G21,Materialen!$A$2:$I$39,9,0)),0)*(1+N(O21))+N(J21)*IFERROR(IF(VLOOKUP(I21,Materialen!$A$2:$I$39,9,0)="",0,VLOOKUP(I21,Materialen!$A$2:$I$39,9,0)),0)*(1+N(O21))+N(L21)*IFERROR(IF(VLOOKUP(K21,Materialen!$A$2:$I$39,9,0)="",0,VLOOKUP(K21,Materialen!$A$2:$I$39,9,0)),0)+N(N21)*IFERROR(IF(VLOOKUP(M21,Materialen!$A$2:$I$39,9,0)="",0,VLOOKUP(M21,Materialen!$A$2:$I$39,9,0)),0),2)</f>
        <v/>
      </c>
      <c r="Q21" s="5">
        <f>IF(G21="",0,IF(IFERROR(VLOOKUP(G21,Materialen!$A$2:$I$39,5,0),"N")="J",ROUND(N(H21)*(1+N(O21))*Instellingen!$B$8,2),0))</f>
        <v/>
      </c>
      <c r="R21" s="18" t="n"/>
      <c r="S21" s="5">
        <f>ROUND(N(R21)/60*Instellingen!$B$9,2)</f>
        <v/>
      </c>
      <c r="T21" s="14" t="n"/>
      <c r="U21" s="5">
        <f>P21+Q21+S21+N(T21)</f>
        <v/>
      </c>
      <c r="V21" s="5">
        <f>IF(AC21&lt;&gt;"OK","",F21-U21)</f>
        <v/>
      </c>
      <c r="W21" s="6">
        <f>IF(OR(F21=0,AC21&lt;&gt;"OK"),"",V21/F21)</f>
        <v/>
      </c>
      <c r="X21" s="5">
        <f>IF(N(H21)&gt;0,F21/H21,"")</f>
        <v/>
      </c>
      <c r="Y21" s="5">
        <f>IF(N(H21)&gt;0,IFERROR(IF(VLOOKUP(G21,Materialen!$A$2:$I$39,9,0)="",0,VLOOKUP(G21,Materialen!$A$2:$I$39,9,0)),0),"")</f>
        <v/>
      </c>
      <c r="Z21" s="5">
        <f>ROUND(E21*F21,2)</f>
        <v/>
      </c>
      <c r="AA21" s="5">
        <f>IF(AC21&lt;&gt;"OK","",ROUND(E21*U21,2))</f>
        <v/>
      </c>
      <c r="AB21" s="5">
        <f>IF(AC21&lt;&gt;"OK","",Z21-AA21)</f>
        <v/>
      </c>
      <c r="AC21" s="7">
        <f>IF((IF(G21="",0,IF(IFERROR(IF(VLOOKUP(G21,Materialen!$A$2:$I$39,9,0)="",0,VLOOKUP(G21,Materialen!$A$2:$I$39,9,0)),0)=0,1,0))+IF(I21="",0,IF(IFERROR(IF(VLOOKUP(I21,Materialen!$A$2:$I$39,9,0)="",0,VLOOKUP(I21,Materialen!$A$2:$I$39,9,0)),0)=0,1,0))+IF(K21="",0,IF(IFERROR(IF(VLOOKUP(K21,Materialen!$A$2:$I$39,9,0)="",0,VLOOKUP(K21,Materialen!$A$2:$I$39,9,0)),0)=0,1,0))+IF(M21="",0,IF(IFERROR(IF(VLOOKUP(M21,Materialen!$A$2:$I$39,9,0)="",0,VLOOKUP(M21,Materialen!$A$2:$I$39,9,0)),0)=0,1,0)))&gt;0,"aankoopprijs ontbreekt",IF(AND(G21="",K21="",N(T21)=0,N(R21)=0),"kost invullen (arbeid/overig)","OK"))</f>
        <v/>
      </c>
      <c r="AD21" s="7" t="inlineStr"/>
    </row>
    <row r="22">
      <c r="A22" s="7" t="n">
        <v>21</v>
      </c>
      <c r="B22" s="7" t="inlineStr">
        <is>
          <t>Impression sur panneau FOREX de 5mm</t>
        </is>
      </c>
      <c r="C22" s="7" t="inlineStr">
        <is>
          <t>&gt; 2 m² et &lt;= 5 m²</t>
        </is>
      </c>
      <c r="D22" s="7" t="inlineStr">
        <is>
          <t>m²</t>
        </is>
      </c>
      <c r="E22" s="7" t="n">
        <v>5</v>
      </c>
      <c r="F22" s="5" t="n">
        <v>58</v>
      </c>
      <c r="G22" s="7" t="inlineStr">
        <is>
          <t>M33</t>
        </is>
      </c>
      <c r="H22" s="20" t="n">
        <v>1</v>
      </c>
      <c r="I22" s="7" t="n"/>
      <c r="J22" s="20" t="n"/>
      <c r="K22" s="7" t="n"/>
      <c r="L22" s="7" t="n"/>
      <c r="M22" s="7" t="n"/>
      <c r="N22" s="7" t="n"/>
      <c r="O22" s="6">
        <f>IF(G22="","",IF(IFERROR(VLOOKUP(G22,Materialen!$A$2:$I$39,4,0),"")="plaat",Instellingen!$B$4,Instellingen!$B$3))</f>
        <v/>
      </c>
      <c r="P22" s="5">
        <f>ROUND(N(H22)*IFERROR(IF(VLOOKUP(G22,Materialen!$A$2:$I$39,9,0)="",0,VLOOKUP(G22,Materialen!$A$2:$I$39,9,0)),0)*(1+N(O22))+N(J22)*IFERROR(IF(VLOOKUP(I22,Materialen!$A$2:$I$39,9,0)="",0,VLOOKUP(I22,Materialen!$A$2:$I$39,9,0)),0)*(1+N(O22))+N(L22)*IFERROR(IF(VLOOKUP(K22,Materialen!$A$2:$I$39,9,0)="",0,VLOOKUP(K22,Materialen!$A$2:$I$39,9,0)),0)+N(N22)*IFERROR(IF(VLOOKUP(M22,Materialen!$A$2:$I$39,9,0)="",0,VLOOKUP(M22,Materialen!$A$2:$I$39,9,0)),0),2)</f>
        <v/>
      </c>
      <c r="Q22" s="5">
        <f>IF(G22="",0,IF(IFERROR(VLOOKUP(G22,Materialen!$A$2:$I$39,5,0),"N")="J",ROUND(N(H22)*(1+N(O22))*Instellingen!$B$8,2),0))</f>
        <v/>
      </c>
      <c r="R22" s="18" t="n"/>
      <c r="S22" s="5">
        <f>ROUND(N(R22)/60*Instellingen!$B$9,2)</f>
        <v/>
      </c>
      <c r="T22" s="14" t="n"/>
      <c r="U22" s="5">
        <f>P22+Q22+S22+N(T22)</f>
        <v/>
      </c>
      <c r="V22" s="5">
        <f>IF(AC22&lt;&gt;"OK","",F22-U22)</f>
        <v/>
      </c>
      <c r="W22" s="6">
        <f>IF(OR(F22=0,AC22&lt;&gt;"OK"),"",V22/F22)</f>
        <v/>
      </c>
      <c r="X22" s="5">
        <f>IF(N(H22)&gt;0,F22/H22,"")</f>
        <v/>
      </c>
      <c r="Y22" s="5">
        <f>IF(N(H22)&gt;0,IFERROR(IF(VLOOKUP(G22,Materialen!$A$2:$I$39,9,0)="",0,VLOOKUP(G22,Materialen!$A$2:$I$39,9,0)),0),"")</f>
        <v/>
      </c>
      <c r="Z22" s="5">
        <f>ROUND(E22*F22,2)</f>
        <v/>
      </c>
      <c r="AA22" s="5">
        <f>IF(AC22&lt;&gt;"OK","",ROUND(E22*U22,2))</f>
        <v/>
      </c>
      <c r="AB22" s="5">
        <f>IF(AC22&lt;&gt;"OK","",Z22-AA22)</f>
        <v/>
      </c>
      <c r="AC22" s="7">
        <f>IF((IF(G22="",0,IF(IFERROR(IF(VLOOKUP(G22,Materialen!$A$2:$I$39,9,0)="",0,VLOOKUP(G22,Materialen!$A$2:$I$39,9,0)),0)=0,1,0))+IF(I22="",0,IF(IFERROR(IF(VLOOKUP(I22,Materialen!$A$2:$I$39,9,0)="",0,VLOOKUP(I22,Materialen!$A$2:$I$39,9,0)),0)=0,1,0))+IF(K22="",0,IF(IFERROR(IF(VLOOKUP(K22,Materialen!$A$2:$I$39,9,0)="",0,VLOOKUP(K22,Materialen!$A$2:$I$39,9,0)),0)=0,1,0))+IF(M22="",0,IF(IFERROR(IF(VLOOKUP(M22,Materialen!$A$2:$I$39,9,0)="",0,VLOOKUP(M22,Materialen!$A$2:$I$39,9,0)),0)=0,1,0)))&gt;0,"aankoopprijs ontbreekt",IF(AND(G22="",K22="",N(T22)=0,N(R22)=0),"kost invullen (arbeid/overig)","OK"))</f>
        <v/>
      </c>
      <c r="AD22" s="7" t="inlineStr"/>
    </row>
    <row r="23">
      <c r="A23" s="7" t="n">
        <v>22</v>
      </c>
      <c r="B23" s="7" t="inlineStr">
        <is>
          <t>Impression sur panneau FOREX de 5mm</t>
        </is>
      </c>
      <c r="C23" s="7" t="inlineStr">
        <is>
          <t>&gt; 5 m² et &lt;= 10 m²</t>
        </is>
      </c>
      <c r="D23" s="7" t="inlineStr">
        <is>
          <t>m²</t>
        </is>
      </c>
      <c r="E23" s="7" t="n">
        <v>5</v>
      </c>
      <c r="F23" s="5" t="n">
        <v>52</v>
      </c>
      <c r="G23" s="7" t="inlineStr">
        <is>
          <t>M33</t>
        </is>
      </c>
      <c r="H23" s="20" t="n">
        <v>1</v>
      </c>
      <c r="I23" s="7" t="n"/>
      <c r="J23" s="20" t="n"/>
      <c r="K23" s="7" t="n"/>
      <c r="L23" s="7" t="n"/>
      <c r="M23" s="7" t="n"/>
      <c r="N23" s="7" t="n"/>
      <c r="O23" s="6">
        <f>IF(G23="","",IF(IFERROR(VLOOKUP(G23,Materialen!$A$2:$I$39,4,0),"")="plaat",Instellingen!$B$4,Instellingen!$B$3))</f>
        <v/>
      </c>
      <c r="P23" s="5">
        <f>ROUND(N(H23)*IFERROR(IF(VLOOKUP(G23,Materialen!$A$2:$I$39,9,0)="",0,VLOOKUP(G23,Materialen!$A$2:$I$39,9,0)),0)*(1+N(O23))+N(J23)*IFERROR(IF(VLOOKUP(I23,Materialen!$A$2:$I$39,9,0)="",0,VLOOKUP(I23,Materialen!$A$2:$I$39,9,0)),0)*(1+N(O23))+N(L23)*IFERROR(IF(VLOOKUP(K23,Materialen!$A$2:$I$39,9,0)="",0,VLOOKUP(K23,Materialen!$A$2:$I$39,9,0)),0)+N(N23)*IFERROR(IF(VLOOKUP(M23,Materialen!$A$2:$I$39,9,0)="",0,VLOOKUP(M23,Materialen!$A$2:$I$39,9,0)),0),2)</f>
        <v/>
      </c>
      <c r="Q23" s="5">
        <f>IF(G23="",0,IF(IFERROR(VLOOKUP(G23,Materialen!$A$2:$I$39,5,0),"N")="J",ROUND(N(H23)*(1+N(O23))*Instellingen!$B$8,2),0))</f>
        <v/>
      </c>
      <c r="R23" s="18" t="n"/>
      <c r="S23" s="5">
        <f>ROUND(N(R23)/60*Instellingen!$B$9,2)</f>
        <v/>
      </c>
      <c r="T23" s="14" t="n"/>
      <c r="U23" s="5">
        <f>P23+Q23+S23+N(T23)</f>
        <v/>
      </c>
      <c r="V23" s="5">
        <f>IF(AC23&lt;&gt;"OK","",F23-U23)</f>
        <v/>
      </c>
      <c r="W23" s="6">
        <f>IF(OR(F23=0,AC23&lt;&gt;"OK"),"",V23/F23)</f>
        <v/>
      </c>
      <c r="X23" s="5">
        <f>IF(N(H23)&gt;0,F23/H23,"")</f>
        <v/>
      </c>
      <c r="Y23" s="5">
        <f>IF(N(H23)&gt;0,IFERROR(IF(VLOOKUP(G23,Materialen!$A$2:$I$39,9,0)="",0,VLOOKUP(G23,Materialen!$A$2:$I$39,9,0)),0),"")</f>
        <v/>
      </c>
      <c r="Z23" s="5">
        <f>ROUND(E23*F23,2)</f>
        <v/>
      </c>
      <c r="AA23" s="5">
        <f>IF(AC23&lt;&gt;"OK","",ROUND(E23*U23,2))</f>
        <v/>
      </c>
      <c r="AB23" s="5">
        <f>IF(AC23&lt;&gt;"OK","",Z23-AA23)</f>
        <v/>
      </c>
      <c r="AC23" s="7">
        <f>IF((IF(G23="",0,IF(IFERROR(IF(VLOOKUP(G23,Materialen!$A$2:$I$39,9,0)="",0,VLOOKUP(G23,Materialen!$A$2:$I$39,9,0)),0)=0,1,0))+IF(I23="",0,IF(IFERROR(IF(VLOOKUP(I23,Materialen!$A$2:$I$39,9,0)="",0,VLOOKUP(I23,Materialen!$A$2:$I$39,9,0)),0)=0,1,0))+IF(K23="",0,IF(IFERROR(IF(VLOOKUP(K23,Materialen!$A$2:$I$39,9,0)="",0,VLOOKUP(K23,Materialen!$A$2:$I$39,9,0)),0)=0,1,0))+IF(M23="",0,IF(IFERROR(IF(VLOOKUP(M23,Materialen!$A$2:$I$39,9,0)="",0,VLOOKUP(M23,Materialen!$A$2:$I$39,9,0)),0)=0,1,0)))&gt;0,"aankoopprijs ontbreekt",IF(AND(G23="",K23="",N(T23)=0,N(R23)=0),"kost invullen (arbeid/overig)","OK"))</f>
        <v/>
      </c>
      <c r="AD23" s="7" t="inlineStr"/>
    </row>
    <row r="24">
      <c r="A24" s="7" t="n">
        <v>23</v>
      </c>
      <c r="B24" s="7" t="inlineStr">
        <is>
          <t>Impression sur panneau FOREX de 5mm</t>
        </is>
      </c>
      <c r="C24" s="7" t="inlineStr">
        <is>
          <t>&gt; 10 m² et &lt;= 25 m²</t>
        </is>
      </c>
      <c r="D24" s="7" t="inlineStr">
        <is>
          <t>m²</t>
        </is>
      </c>
      <c r="E24" s="7" t="n">
        <v>5</v>
      </c>
      <c r="F24" s="5" t="n">
        <v>47</v>
      </c>
      <c r="G24" s="7" t="inlineStr">
        <is>
          <t>M33</t>
        </is>
      </c>
      <c r="H24" s="20" t="n">
        <v>1</v>
      </c>
      <c r="I24" s="7" t="n"/>
      <c r="J24" s="20" t="n"/>
      <c r="K24" s="7" t="n"/>
      <c r="L24" s="7" t="n"/>
      <c r="M24" s="7" t="n"/>
      <c r="N24" s="7" t="n"/>
      <c r="O24" s="6">
        <f>IF(G24="","",IF(IFERROR(VLOOKUP(G24,Materialen!$A$2:$I$39,4,0),"")="plaat",Instellingen!$B$4,Instellingen!$B$3))</f>
        <v/>
      </c>
      <c r="P24" s="5">
        <f>ROUND(N(H24)*IFERROR(IF(VLOOKUP(G24,Materialen!$A$2:$I$39,9,0)="",0,VLOOKUP(G24,Materialen!$A$2:$I$39,9,0)),0)*(1+N(O24))+N(J24)*IFERROR(IF(VLOOKUP(I24,Materialen!$A$2:$I$39,9,0)="",0,VLOOKUP(I24,Materialen!$A$2:$I$39,9,0)),0)*(1+N(O24))+N(L24)*IFERROR(IF(VLOOKUP(K24,Materialen!$A$2:$I$39,9,0)="",0,VLOOKUP(K24,Materialen!$A$2:$I$39,9,0)),0)+N(N24)*IFERROR(IF(VLOOKUP(M24,Materialen!$A$2:$I$39,9,0)="",0,VLOOKUP(M24,Materialen!$A$2:$I$39,9,0)),0),2)</f>
        <v/>
      </c>
      <c r="Q24" s="5">
        <f>IF(G24="",0,IF(IFERROR(VLOOKUP(G24,Materialen!$A$2:$I$39,5,0),"N")="J",ROUND(N(H24)*(1+N(O24))*Instellingen!$B$8,2),0))</f>
        <v/>
      </c>
      <c r="R24" s="18" t="n"/>
      <c r="S24" s="5">
        <f>ROUND(N(R24)/60*Instellingen!$B$9,2)</f>
        <v/>
      </c>
      <c r="T24" s="14" t="n"/>
      <c r="U24" s="5">
        <f>P24+Q24+S24+N(T24)</f>
        <v/>
      </c>
      <c r="V24" s="5">
        <f>IF(AC24&lt;&gt;"OK","",F24-U24)</f>
        <v/>
      </c>
      <c r="W24" s="6">
        <f>IF(OR(F24=0,AC24&lt;&gt;"OK"),"",V24/F24)</f>
        <v/>
      </c>
      <c r="X24" s="5">
        <f>IF(N(H24)&gt;0,F24/H24,"")</f>
        <v/>
      </c>
      <c r="Y24" s="5">
        <f>IF(N(H24)&gt;0,IFERROR(IF(VLOOKUP(G24,Materialen!$A$2:$I$39,9,0)="",0,VLOOKUP(G24,Materialen!$A$2:$I$39,9,0)),0),"")</f>
        <v/>
      </c>
      <c r="Z24" s="5">
        <f>ROUND(E24*F24,2)</f>
        <v/>
      </c>
      <c r="AA24" s="5">
        <f>IF(AC24&lt;&gt;"OK","",ROUND(E24*U24,2))</f>
        <v/>
      </c>
      <c r="AB24" s="5">
        <f>IF(AC24&lt;&gt;"OK","",Z24-AA24)</f>
        <v/>
      </c>
      <c r="AC24" s="7">
        <f>IF((IF(G24="",0,IF(IFERROR(IF(VLOOKUP(G24,Materialen!$A$2:$I$39,9,0)="",0,VLOOKUP(G24,Materialen!$A$2:$I$39,9,0)),0)=0,1,0))+IF(I24="",0,IF(IFERROR(IF(VLOOKUP(I24,Materialen!$A$2:$I$39,9,0)="",0,VLOOKUP(I24,Materialen!$A$2:$I$39,9,0)),0)=0,1,0))+IF(K24="",0,IF(IFERROR(IF(VLOOKUP(K24,Materialen!$A$2:$I$39,9,0)="",0,VLOOKUP(K24,Materialen!$A$2:$I$39,9,0)),0)=0,1,0))+IF(M24="",0,IF(IFERROR(IF(VLOOKUP(M24,Materialen!$A$2:$I$39,9,0)="",0,VLOOKUP(M24,Materialen!$A$2:$I$39,9,0)),0)=0,1,0)))&gt;0,"aankoopprijs ontbreekt",IF(AND(G24="",K24="",N(T24)=0,N(R24)=0),"kost invullen (arbeid/overig)","OK"))</f>
        <v/>
      </c>
      <c r="AD24" s="7" t="inlineStr"/>
    </row>
    <row r="25">
      <c r="A25" s="7" t="n">
        <v>24</v>
      </c>
      <c r="B25" s="7" t="inlineStr">
        <is>
          <t>Impression sur panneau FOREX de 5mm</t>
        </is>
      </c>
      <c r="C25" s="7" t="inlineStr">
        <is>
          <t>&gt; 25 m²</t>
        </is>
      </c>
      <c r="D25" s="7" t="inlineStr">
        <is>
          <t>m²</t>
        </is>
      </c>
      <c r="E25" s="7" t="n">
        <v>5</v>
      </c>
      <c r="F25" s="5" t="n">
        <v>43</v>
      </c>
      <c r="G25" s="7" t="inlineStr">
        <is>
          <t>M33</t>
        </is>
      </c>
      <c r="H25" s="20" t="n">
        <v>1</v>
      </c>
      <c r="I25" s="7" t="n"/>
      <c r="J25" s="20" t="n"/>
      <c r="K25" s="7" t="n"/>
      <c r="L25" s="7" t="n"/>
      <c r="M25" s="7" t="n"/>
      <c r="N25" s="7" t="n"/>
      <c r="O25" s="6">
        <f>IF(G25="","",IF(IFERROR(VLOOKUP(G25,Materialen!$A$2:$I$39,4,0),"")="plaat",Instellingen!$B$4,Instellingen!$B$3))</f>
        <v/>
      </c>
      <c r="P25" s="5">
        <f>ROUND(N(H25)*IFERROR(IF(VLOOKUP(G25,Materialen!$A$2:$I$39,9,0)="",0,VLOOKUP(G25,Materialen!$A$2:$I$39,9,0)),0)*(1+N(O25))+N(J25)*IFERROR(IF(VLOOKUP(I25,Materialen!$A$2:$I$39,9,0)="",0,VLOOKUP(I25,Materialen!$A$2:$I$39,9,0)),0)*(1+N(O25))+N(L25)*IFERROR(IF(VLOOKUP(K25,Materialen!$A$2:$I$39,9,0)="",0,VLOOKUP(K25,Materialen!$A$2:$I$39,9,0)),0)+N(N25)*IFERROR(IF(VLOOKUP(M25,Materialen!$A$2:$I$39,9,0)="",0,VLOOKUP(M25,Materialen!$A$2:$I$39,9,0)),0),2)</f>
        <v/>
      </c>
      <c r="Q25" s="5">
        <f>IF(G25="",0,IF(IFERROR(VLOOKUP(G25,Materialen!$A$2:$I$39,5,0),"N")="J",ROUND(N(H25)*(1+N(O25))*Instellingen!$B$8,2),0))</f>
        <v/>
      </c>
      <c r="R25" s="18" t="n"/>
      <c r="S25" s="5">
        <f>ROUND(N(R25)/60*Instellingen!$B$9,2)</f>
        <v/>
      </c>
      <c r="T25" s="14" t="n"/>
      <c r="U25" s="5">
        <f>P25+Q25+S25+N(T25)</f>
        <v/>
      </c>
      <c r="V25" s="5">
        <f>IF(AC25&lt;&gt;"OK","",F25-U25)</f>
        <v/>
      </c>
      <c r="W25" s="6">
        <f>IF(OR(F25=0,AC25&lt;&gt;"OK"),"",V25/F25)</f>
        <v/>
      </c>
      <c r="X25" s="5">
        <f>IF(N(H25)&gt;0,F25/H25,"")</f>
        <v/>
      </c>
      <c r="Y25" s="5">
        <f>IF(N(H25)&gt;0,IFERROR(IF(VLOOKUP(G25,Materialen!$A$2:$I$39,9,0)="",0,VLOOKUP(G25,Materialen!$A$2:$I$39,9,0)),0),"")</f>
        <v/>
      </c>
      <c r="Z25" s="5">
        <f>ROUND(E25*F25,2)</f>
        <v/>
      </c>
      <c r="AA25" s="5">
        <f>IF(AC25&lt;&gt;"OK","",ROUND(E25*U25,2))</f>
        <v/>
      </c>
      <c r="AB25" s="5">
        <f>IF(AC25&lt;&gt;"OK","",Z25-AA25)</f>
        <v/>
      </c>
      <c r="AC25" s="7">
        <f>IF((IF(G25="",0,IF(IFERROR(IF(VLOOKUP(G25,Materialen!$A$2:$I$39,9,0)="",0,VLOOKUP(G25,Materialen!$A$2:$I$39,9,0)),0)=0,1,0))+IF(I25="",0,IF(IFERROR(IF(VLOOKUP(I25,Materialen!$A$2:$I$39,9,0)="",0,VLOOKUP(I25,Materialen!$A$2:$I$39,9,0)),0)=0,1,0))+IF(K25="",0,IF(IFERROR(IF(VLOOKUP(K25,Materialen!$A$2:$I$39,9,0)="",0,VLOOKUP(K25,Materialen!$A$2:$I$39,9,0)),0)=0,1,0))+IF(M25="",0,IF(IFERROR(IF(VLOOKUP(M25,Materialen!$A$2:$I$39,9,0)="",0,VLOOKUP(M25,Materialen!$A$2:$I$39,9,0)),0)=0,1,0)))&gt;0,"aankoopprijs ontbreekt",IF(AND(G25="",K25="",N(T25)=0,N(R25)=0),"kost invullen (arbeid/overig)","OK"))</f>
        <v/>
      </c>
      <c r="AD25" s="7" t="inlineStr"/>
    </row>
    <row r="26">
      <c r="A26" s="7" t="n">
        <v>25</v>
      </c>
      <c r="B26" s="7" t="inlineStr">
        <is>
          <t>Impression sur panneaux FOREX de 2mm</t>
        </is>
      </c>
      <c r="C26" s="7" t="inlineStr">
        <is>
          <t>10 cartels</t>
        </is>
      </c>
      <c r="D26" s="7" t="inlineStr">
        <is>
          <t>10 cartels</t>
        </is>
      </c>
      <c r="E26" s="7" t="n">
        <v>5</v>
      </c>
      <c r="F26" s="5" t="n">
        <v>35</v>
      </c>
      <c r="G26" s="7" t="inlineStr">
        <is>
          <t>M31</t>
        </is>
      </c>
      <c r="H26" s="20" t="n">
        <v>0.3108</v>
      </c>
      <c r="I26" s="7" t="n"/>
      <c r="J26" s="20" t="n"/>
      <c r="K26" s="7" t="n"/>
      <c r="L26" s="7" t="n"/>
      <c r="M26" s="7" t="n"/>
      <c r="N26" s="7" t="n"/>
      <c r="O26" s="6">
        <f>IF(G26="","",IF(IFERROR(VLOOKUP(G26,Materialen!$A$2:$I$39,4,0),"")="plaat",Instellingen!$B$4,Instellingen!$B$3))</f>
        <v/>
      </c>
      <c r="P26" s="5">
        <f>ROUND(N(H26)*IFERROR(IF(VLOOKUP(G26,Materialen!$A$2:$I$39,9,0)="",0,VLOOKUP(G26,Materialen!$A$2:$I$39,9,0)),0)*(1+N(O26))+N(J26)*IFERROR(IF(VLOOKUP(I26,Materialen!$A$2:$I$39,9,0)="",0,VLOOKUP(I26,Materialen!$A$2:$I$39,9,0)),0)*(1+N(O26))+N(L26)*IFERROR(IF(VLOOKUP(K26,Materialen!$A$2:$I$39,9,0)="",0,VLOOKUP(K26,Materialen!$A$2:$I$39,9,0)),0)+N(N26)*IFERROR(IF(VLOOKUP(M26,Materialen!$A$2:$I$39,9,0)="",0,VLOOKUP(M26,Materialen!$A$2:$I$39,9,0)),0),2)</f>
        <v/>
      </c>
      <c r="Q26" s="5">
        <f>IF(G26="",0,IF(IFERROR(VLOOKUP(G26,Materialen!$A$2:$I$39,5,0),"N")="J",ROUND(N(H26)*(1+N(O26))*Instellingen!$B$8,2),0))</f>
        <v/>
      </c>
      <c r="R26" s="18" t="n"/>
      <c r="S26" s="5">
        <f>ROUND(N(R26)/60*Instellingen!$B$9,2)</f>
        <v/>
      </c>
      <c r="T26" s="14" t="n"/>
      <c r="U26" s="5">
        <f>P26+Q26+S26+N(T26)</f>
        <v/>
      </c>
      <c r="V26" s="5">
        <f>IF(AC26&lt;&gt;"OK","",F26-U26)</f>
        <v/>
      </c>
      <c r="W26" s="6">
        <f>IF(OR(F26=0,AC26&lt;&gt;"OK"),"",V26/F26)</f>
        <v/>
      </c>
      <c r="X26" s="5">
        <f>IF(N(H26)&gt;0,F26/H26,"")</f>
        <v/>
      </c>
      <c r="Y26" s="5">
        <f>IF(N(H26)&gt;0,IFERROR(IF(VLOOKUP(G26,Materialen!$A$2:$I$39,9,0)="",0,VLOOKUP(G26,Materialen!$A$2:$I$39,9,0)),0),"")</f>
        <v/>
      </c>
      <c r="Z26" s="5">
        <f>ROUND(E26*F26,2)</f>
        <v/>
      </c>
      <c r="AA26" s="5">
        <f>IF(AC26&lt;&gt;"OK","",ROUND(E26*U26,2))</f>
        <v/>
      </c>
      <c r="AB26" s="5">
        <f>IF(AC26&lt;&gt;"OK","",Z26-AA26)</f>
        <v/>
      </c>
      <c r="AC26" s="7">
        <f>IF((IF(G26="",0,IF(IFERROR(IF(VLOOKUP(G26,Materialen!$A$2:$I$39,9,0)="",0,VLOOKUP(G26,Materialen!$A$2:$I$39,9,0)),0)=0,1,0))+IF(I26="",0,IF(IFERROR(IF(VLOOKUP(I26,Materialen!$A$2:$I$39,9,0)="",0,VLOOKUP(I26,Materialen!$A$2:$I$39,9,0)),0)=0,1,0))+IF(K26="",0,IF(IFERROR(IF(VLOOKUP(K26,Materialen!$A$2:$I$39,9,0)="",0,VLOOKUP(K26,Materialen!$A$2:$I$39,9,0)),0)=0,1,0))+IF(M26="",0,IF(IFERROR(IF(VLOOKUP(M26,Materialen!$A$2:$I$39,9,0)="",0,VLOOKUP(M26,Materialen!$A$2:$I$39,9,0)),0)=0,1,0)))&gt;0,"aankoopprijs ontbreekt",IF(AND(G26="",K26="",N(T26)=0,N(R26)=0),"kost invullen (arbeid/overig)","OK"))</f>
        <v/>
      </c>
      <c r="AD26" s="7" t="inlineStr">
        <is>
          <t>10 x A5</t>
        </is>
      </c>
    </row>
    <row r="27">
      <c r="A27" s="7" t="n">
        <v>26</v>
      </c>
      <c r="B27" s="7" t="inlineStr">
        <is>
          <t>Impression sur panneaux FOREX de 2mm</t>
        </is>
      </c>
      <c r="C27" s="7" t="inlineStr">
        <is>
          <t>25 cartels</t>
        </is>
      </c>
      <c r="D27" s="7" t="inlineStr">
        <is>
          <t>25 cartels</t>
        </is>
      </c>
      <c r="E27" s="7" t="n">
        <v>5</v>
      </c>
      <c r="F27" s="5" t="n">
        <v>70</v>
      </c>
      <c r="G27" s="7" t="inlineStr">
        <is>
          <t>M31</t>
        </is>
      </c>
      <c r="H27" s="20" t="n">
        <v>0.777</v>
      </c>
      <c r="I27" s="7" t="n"/>
      <c r="J27" s="20" t="n"/>
      <c r="K27" s="7" t="n"/>
      <c r="L27" s="7" t="n"/>
      <c r="M27" s="7" t="n"/>
      <c r="N27" s="7" t="n"/>
      <c r="O27" s="6">
        <f>IF(G27="","",IF(IFERROR(VLOOKUP(G27,Materialen!$A$2:$I$39,4,0),"")="plaat",Instellingen!$B$4,Instellingen!$B$3))</f>
        <v/>
      </c>
      <c r="P27" s="5">
        <f>ROUND(N(H27)*IFERROR(IF(VLOOKUP(G27,Materialen!$A$2:$I$39,9,0)="",0,VLOOKUP(G27,Materialen!$A$2:$I$39,9,0)),0)*(1+N(O27))+N(J27)*IFERROR(IF(VLOOKUP(I27,Materialen!$A$2:$I$39,9,0)="",0,VLOOKUP(I27,Materialen!$A$2:$I$39,9,0)),0)*(1+N(O27))+N(L27)*IFERROR(IF(VLOOKUP(K27,Materialen!$A$2:$I$39,9,0)="",0,VLOOKUP(K27,Materialen!$A$2:$I$39,9,0)),0)+N(N27)*IFERROR(IF(VLOOKUP(M27,Materialen!$A$2:$I$39,9,0)="",0,VLOOKUP(M27,Materialen!$A$2:$I$39,9,0)),0),2)</f>
        <v/>
      </c>
      <c r="Q27" s="5">
        <f>IF(G27="",0,IF(IFERROR(VLOOKUP(G27,Materialen!$A$2:$I$39,5,0),"N")="J",ROUND(N(H27)*(1+N(O27))*Instellingen!$B$8,2),0))</f>
        <v/>
      </c>
      <c r="R27" s="18" t="n"/>
      <c r="S27" s="5">
        <f>ROUND(N(R27)/60*Instellingen!$B$9,2)</f>
        <v/>
      </c>
      <c r="T27" s="14" t="n"/>
      <c r="U27" s="5">
        <f>P27+Q27+S27+N(T27)</f>
        <v/>
      </c>
      <c r="V27" s="5">
        <f>IF(AC27&lt;&gt;"OK","",F27-U27)</f>
        <v/>
      </c>
      <c r="W27" s="6">
        <f>IF(OR(F27=0,AC27&lt;&gt;"OK"),"",V27/F27)</f>
        <v/>
      </c>
      <c r="X27" s="5">
        <f>IF(N(H27)&gt;0,F27/H27,"")</f>
        <v/>
      </c>
      <c r="Y27" s="5">
        <f>IF(N(H27)&gt;0,IFERROR(IF(VLOOKUP(G27,Materialen!$A$2:$I$39,9,0)="",0,VLOOKUP(G27,Materialen!$A$2:$I$39,9,0)),0),"")</f>
        <v/>
      </c>
      <c r="Z27" s="5">
        <f>ROUND(E27*F27,2)</f>
        <v/>
      </c>
      <c r="AA27" s="5">
        <f>IF(AC27&lt;&gt;"OK","",ROUND(E27*U27,2))</f>
        <v/>
      </c>
      <c r="AB27" s="5">
        <f>IF(AC27&lt;&gt;"OK","",Z27-AA27)</f>
        <v/>
      </c>
      <c r="AC27" s="7">
        <f>IF((IF(G27="",0,IF(IFERROR(IF(VLOOKUP(G27,Materialen!$A$2:$I$39,9,0)="",0,VLOOKUP(G27,Materialen!$A$2:$I$39,9,0)),0)=0,1,0))+IF(I27="",0,IF(IFERROR(IF(VLOOKUP(I27,Materialen!$A$2:$I$39,9,0)="",0,VLOOKUP(I27,Materialen!$A$2:$I$39,9,0)),0)=0,1,0))+IF(K27="",0,IF(IFERROR(IF(VLOOKUP(K27,Materialen!$A$2:$I$39,9,0)="",0,VLOOKUP(K27,Materialen!$A$2:$I$39,9,0)),0)=0,1,0))+IF(M27="",0,IF(IFERROR(IF(VLOOKUP(M27,Materialen!$A$2:$I$39,9,0)="",0,VLOOKUP(M27,Materialen!$A$2:$I$39,9,0)),0)=0,1,0)))&gt;0,"aankoopprijs ontbreekt",IF(AND(G27="",K27="",N(T27)=0,N(R27)=0),"kost invullen (arbeid/overig)","OK"))</f>
        <v/>
      </c>
      <c r="AD27" s="7" t="inlineStr">
        <is>
          <t>25 x A5</t>
        </is>
      </c>
    </row>
    <row r="28">
      <c r="A28" s="7" t="n">
        <v>27</v>
      </c>
      <c r="B28" s="7" t="inlineStr">
        <is>
          <t>Impression sur panneaux FOREX de 2mm</t>
        </is>
      </c>
      <c r="C28" s="7" t="inlineStr">
        <is>
          <t>50 cartels</t>
        </is>
      </c>
      <c r="D28" s="7" t="inlineStr">
        <is>
          <t>50 cartels</t>
        </is>
      </c>
      <c r="E28" s="7" t="n">
        <v>5</v>
      </c>
      <c r="F28" s="5" t="n">
        <v>120</v>
      </c>
      <c r="G28" s="7" t="inlineStr">
        <is>
          <t>M31</t>
        </is>
      </c>
      <c r="H28" s="20" t="n">
        <v>1.554</v>
      </c>
      <c r="I28" s="7" t="n"/>
      <c r="J28" s="20" t="n"/>
      <c r="K28" s="7" t="n"/>
      <c r="L28" s="7" t="n"/>
      <c r="M28" s="7" t="n"/>
      <c r="N28" s="7" t="n"/>
      <c r="O28" s="6">
        <f>IF(G28="","",IF(IFERROR(VLOOKUP(G28,Materialen!$A$2:$I$39,4,0),"")="plaat",Instellingen!$B$4,Instellingen!$B$3))</f>
        <v/>
      </c>
      <c r="P28" s="5">
        <f>ROUND(N(H28)*IFERROR(IF(VLOOKUP(G28,Materialen!$A$2:$I$39,9,0)="",0,VLOOKUP(G28,Materialen!$A$2:$I$39,9,0)),0)*(1+N(O28))+N(J28)*IFERROR(IF(VLOOKUP(I28,Materialen!$A$2:$I$39,9,0)="",0,VLOOKUP(I28,Materialen!$A$2:$I$39,9,0)),0)*(1+N(O28))+N(L28)*IFERROR(IF(VLOOKUP(K28,Materialen!$A$2:$I$39,9,0)="",0,VLOOKUP(K28,Materialen!$A$2:$I$39,9,0)),0)+N(N28)*IFERROR(IF(VLOOKUP(M28,Materialen!$A$2:$I$39,9,0)="",0,VLOOKUP(M28,Materialen!$A$2:$I$39,9,0)),0),2)</f>
        <v/>
      </c>
      <c r="Q28" s="5">
        <f>IF(G28="",0,IF(IFERROR(VLOOKUP(G28,Materialen!$A$2:$I$39,5,0),"N")="J",ROUND(N(H28)*(1+N(O28))*Instellingen!$B$8,2),0))</f>
        <v/>
      </c>
      <c r="R28" s="18" t="n"/>
      <c r="S28" s="5">
        <f>ROUND(N(R28)/60*Instellingen!$B$9,2)</f>
        <v/>
      </c>
      <c r="T28" s="14" t="n"/>
      <c r="U28" s="5">
        <f>P28+Q28+S28+N(T28)</f>
        <v/>
      </c>
      <c r="V28" s="5">
        <f>IF(AC28&lt;&gt;"OK","",F28-U28)</f>
        <v/>
      </c>
      <c r="W28" s="6">
        <f>IF(OR(F28=0,AC28&lt;&gt;"OK"),"",V28/F28)</f>
        <v/>
      </c>
      <c r="X28" s="5">
        <f>IF(N(H28)&gt;0,F28/H28,"")</f>
        <v/>
      </c>
      <c r="Y28" s="5">
        <f>IF(N(H28)&gt;0,IFERROR(IF(VLOOKUP(G28,Materialen!$A$2:$I$39,9,0)="",0,VLOOKUP(G28,Materialen!$A$2:$I$39,9,0)),0),"")</f>
        <v/>
      </c>
      <c r="Z28" s="5">
        <f>ROUND(E28*F28,2)</f>
        <v/>
      </c>
      <c r="AA28" s="5">
        <f>IF(AC28&lt;&gt;"OK","",ROUND(E28*U28,2))</f>
        <v/>
      </c>
      <c r="AB28" s="5">
        <f>IF(AC28&lt;&gt;"OK","",Z28-AA28)</f>
        <v/>
      </c>
      <c r="AC28" s="7">
        <f>IF((IF(G28="",0,IF(IFERROR(IF(VLOOKUP(G28,Materialen!$A$2:$I$39,9,0)="",0,VLOOKUP(G28,Materialen!$A$2:$I$39,9,0)),0)=0,1,0))+IF(I28="",0,IF(IFERROR(IF(VLOOKUP(I28,Materialen!$A$2:$I$39,9,0)="",0,VLOOKUP(I28,Materialen!$A$2:$I$39,9,0)),0)=0,1,0))+IF(K28="",0,IF(IFERROR(IF(VLOOKUP(K28,Materialen!$A$2:$I$39,9,0)="",0,VLOOKUP(K28,Materialen!$A$2:$I$39,9,0)),0)=0,1,0))+IF(M28="",0,IF(IFERROR(IF(VLOOKUP(M28,Materialen!$A$2:$I$39,9,0)="",0,VLOOKUP(M28,Materialen!$A$2:$I$39,9,0)),0)=0,1,0)))&gt;0,"aankoopprijs ontbreekt",IF(AND(G28="",K28="",N(T28)=0,N(R28)=0),"kost invullen (arbeid/overig)","OK"))</f>
        <v/>
      </c>
      <c r="AD28" s="7" t="inlineStr">
        <is>
          <t>50 x A5</t>
        </is>
      </c>
    </row>
    <row r="29">
      <c r="A29" s="7" t="n">
        <v>28</v>
      </c>
      <c r="B29" s="7" t="inlineStr">
        <is>
          <t>Impression sur panneaux FOREX de 2mm</t>
        </is>
      </c>
      <c r="C29" s="7" t="inlineStr">
        <is>
          <t>100 cartels</t>
        </is>
      </c>
      <c r="D29" s="7" t="inlineStr">
        <is>
          <t>100 cartels</t>
        </is>
      </c>
      <c r="E29" s="7" t="n">
        <v>5</v>
      </c>
      <c r="F29" s="5" t="n">
        <v>210</v>
      </c>
      <c r="G29" s="7" t="inlineStr">
        <is>
          <t>M31</t>
        </is>
      </c>
      <c r="H29" s="20" t="n">
        <v>3.108</v>
      </c>
      <c r="I29" s="7" t="n"/>
      <c r="J29" s="20" t="n"/>
      <c r="K29" s="7" t="n"/>
      <c r="L29" s="7" t="n"/>
      <c r="M29" s="7" t="n"/>
      <c r="N29" s="7" t="n"/>
      <c r="O29" s="6">
        <f>IF(G29="","",IF(IFERROR(VLOOKUP(G29,Materialen!$A$2:$I$39,4,0),"")="plaat",Instellingen!$B$4,Instellingen!$B$3))</f>
        <v/>
      </c>
      <c r="P29" s="5">
        <f>ROUND(N(H29)*IFERROR(IF(VLOOKUP(G29,Materialen!$A$2:$I$39,9,0)="",0,VLOOKUP(G29,Materialen!$A$2:$I$39,9,0)),0)*(1+N(O29))+N(J29)*IFERROR(IF(VLOOKUP(I29,Materialen!$A$2:$I$39,9,0)="",0,VLOOKUP(I29,Materialen!$A$2:$I$39,9,0)),0)*(1+N(O29))+N(L29)*IFERROR(IF(VLOOKUP(K29,Materialen!$A$2:$I$39,9,0)="",0,VLOOKUP(K29,Materialen!$A$2:$I$39,9,0)),0)+N(N29)*IFERROR(IF(VLOOKUP(M29,Materialen!$A$2:$I$39,9,0)="",0,VLOOKUP(M29,Materialen!$A$2:$I$39,9,0)),0),2)</f>
        <v/>
      </c>
      <c r="Q29" s="5">
        <f>IF(G29="",0,IF(IFERROR(VLOOKUP(G29,Materialen!$A$2:$I$39,5,0),"N")="J",ROUND(N(H29)*(1+N(O29))*Instellingen!$B$8,2),0))</f>
        <v/>
      </c>
      <c r="R29" s="18" t="n"/>
      <c r="S29" s="5">
        <f>ROUND(N(R29)/60*Instellingen!$B$9,2)</f>
        <v/>
      </c>
      <c r="T29" s="14" t="n"/>
      <c r="U29" s="5">
        <f>P29+Q29+S29+N(T29)</f>
        <v/>
      </c>
      <c r="V29" s="5">
        <f>IF(AC29&lt;&gt;"OK","",F29-U29)</f>
        <v/>
      </c>
      <c r="W29" s="6">
        <f>IF(OR(F29=0,AC29&lt;&gt;"OK"),"",V29/F29)</f>
        <v/>
      </c>
      <c r="X29" s="5">
        <f>IF(N(H29)&gt;0,F29/H29,"")</f>
        <v/>
      </c>
      <c r="Y29" s="5">
        <f>IF(N(H29)&gt;0,IFERROR(IF(VLOOKUP(G29,Materialen!$A$2:$I$39,9,0)="",0,VLOOKUP(G29,Materialen!$A$2:$I$39,9,0)),0),"")</f>
        <v/>
      </c>
      <c r="Z29" s="5">
        <f>ROUND(E29*F29,2)</f>
        <v/>
      </c>
      <c r="AA29" s="5">
        <f>IF(AC29&lt;&gt;"OK","",ROUND(E29*U29,2))</f>
        <v/>
      </c>
      <c r="AB29" s="5">
        <f>IF(AC29&lt;&gt;"OK","",Z29-AA29)</f>
        <v/>
      </c>
      <c r="AC29" s="7">
        <f>IF((IF(G29="",0,IF(IFERROR(IF(VLOOKUP(G29,Materialen!$A$2:$I$39,9,0)="",0,VLOOKUP(G29,Materialen!$A$2:$I$39,9,0)),0)=0,1,0))+IF(I29="",0,IF(IFERROR(IF(VLOOKUP(I29,Materialen!$A$2:$I$39,9,0)="",0,VLOOKUP(I29,Materialen!$A$2:$I$39,9,0)),0)=0,1,0))+IF(K29="",0,IF(IFERROR(IF(VLOOKUP(K29,Materialen!$A$2:$I$39,9,0)="",0,VLOOKUP(K29,Materialen!$A$2:$I$39,9,0)),0)=0,1,0))+IF(M29="",0,IF(IFERROR(IF(VLOOKUP(M29,Materialen!$A$2:$I$39,9,0)="",0,VLOOKUP(M29,Materialen!$A$2:$I$39,9,0)),0)=0,1,0)))&gt;0,"aankoopprijs ontbreekt",IF(AND(G29="",K29="",N(T29)=0,N(R29)=0),"kost invullen (arbeid/overig)","OK"))</f>
        <v/>
      </c>
      <c r="AD29" s="7" t="inlineStr">
        <is>
          <t>100 x A5</t>
        </is>
      </c>
    </row>
    <row r="30">
      <c r="A30" s="7" t="n">
        <v>29</v>
      </c>
      <c r="B30" s="7" t="inlineStr">
        <is>
          <t>Impression sur panneaux FOREX de 2mm</t>
        </is>
      </c>
      <c r="C30" s="7" t="inlineStr">
        <is>
          <t>150 cartels</t>
        </is>
      </c>
      <c r="D30" s="7" t="inlineStr">
        <is>
          <t>150 cartels</t>
        </is>
      </c>
      <c r="E30" s="7" t="n">
        <v>5</v>
      </c>
      <c r="F30" s="5" t="n">
        <v>290</v>
      </c>
      <c r="G30" s="7" t="inlineStr">
        <is>
          <t>M31</t>
        </is>
      </c>
      <c r="H30" s="20" t="n">
        <v>4.662</v>
      </c>
      <c r="I30" s="7" t="n"/>
      <c r="J30" s="20" t="n"/>
      <c r="K30" s="7" t="n"/>
      <c r="L30" s="7" t="n"/>
      <c r="M30" s="7" t="n"/>
      <c r="N30" s="7" t="n"/>
      <c r="O30" s="6">
        <f>IF(G30="","",IF(IFERROR(VLOOKUP(G30,Materialen!$A$2:$I$39,4,0),"")="plaat",Instellingen!$B$4,Instellingen!$B$3))</f>
        <v/>
      </c>
      <c r="P30" s="5">
        <f>ROUND(N(H30)*IFERROR(IF(VLOOKUP(G30,Materialen!$A$2:$I$39,9,0)="",0,VLOOKUP(G30,Materialen!$A$2:$I$39,9,0)),0)*(1+N(O30))+N(J30)*IFERROR(IF(VLOOKUP(I30,Materialen!$A$2:$I$39,9,0)="",0,VLOOKUP(I30,Materialen!$A$2:$I$39,9,0)),0)*(1+N(O30))+N(L30)*IFERROR(IF(VLOOKUP(K30,Materialen!$A$2:$I$39,9,0)="",0,VLOOKUP(K30,Materialen!$A$2:$I$39,9,0)),0)+N(N30)*IFERROR(IF(VLOOKUP(M30,Materialen!$A$2:$I$39,9,0)="",0,VLOOKUP(M30,Materialen!$A$2:$I$39,9,0)),0),2)</f>
        <v/>
      </c>
      <c r="Q30" s="5">
        <f>IF(G30="",0,IF(IFERROR(VLOOKUP(G30,Materialen!$A$2:$I$39,5,0),"N")="J",ROUND(N(H30)*(1+N(O30))*Instellingen!$B$8,2),0))</f>
        <v/>
      </c>
      <c r="R30" s="18" t="n"/>
      <c r="S30" s="5">
        <f>ROUND(N(R30)/60*Instellingen!$B$9,2)</f>
        <v/>
      </c>
      <c r="T30" s="14" t="n"/>
      <c r="U30" s="5">
        <f>P30+Q30+S30+N(T30)</f>
        <v/>
      </c>
      <c r="V30" s="5">
        <f>IF(AC30&lt;&gt;"OK","",F30-U30)</f>
        <v/>
      </c>
      <c r="W30" s="6">
        <f>IF(OR(F30=0,AC30&lt;&gt;"OK"),"",V30/F30)</f>
        <v/>
      </c>
      <c r="X30" s="5">
        <f>IF(N(H30)&gt;0,F30/H30,"")</f>
        <v/>
      </c>
      <c r="Y30" s="5">
        <f>IF(N(H30)&gt;0,IFERROR(IF(VLOOKUP(G30,Materialen!$A$2:$I$39,9,0)="",0,VLOOKUP(G30,Materialen!$A$2:$I$39,9,0)),0),"")</f>
        <v/>
      </c>
      <c r="Z30" s="5">
        <f>ROUND(E30*F30,2)</f>
        <v/>
      </c>
      <c r="AA30" s="5">
        <f>IF(AC30&lt;&gt;"OK","",ROUND(E30*U30,2))</f>
        <v/>
      </c>
      <c r="AB30" s="5">
        <f>IF(AC30&lt;&gt;"OK","",Z30-AA30)</f>
        <v/>
      </c>
      <c r="AC30" s="7">
        <f>IF((IF(G30="",0,IF(IFERROR(IF(VLOOKUP(G30,Materialen!$A$2:$I$39,9,0)="",0,VLOOKUP(G30,Materialen!$A$2:$I$39,9,0)),0)=0,1,0))+IF(I30="",0,IF(IFERROR(IF(VLOOKUP(I30,Materialen!$A$2:$I$39,9,0)="",0,VLOOKUP(I30,Materialen!$A$2:$I$39,9,0)),0)=0,1,0))+IF(K30="",0,IF(IFERROR(IF(VLOOKUP(K30,Materialen!$A$2:$I$39,9,0)="",0,VLOOKUP(K30,Materialen!$A$2:$I$39,9,0)),0)=0,1,0))+IF(M30="",0,IF(IFERROR(IF(VLOOKUP(M30,Materialen!$A$2:$I$39,9,0)="",0,VLOOKUP(M30,Materialen!$A$2:$I$39,9,0)),0)=0,1,0)))&gt;0,"aankoopprijs ontbreekt",IF(AND(G30="",K30="",N(T30)=0,N(R30)=0),"kost invullen (arbeid/overig)","OK"))</f>
        <v/>
      </c>
      <c r="AD30" s="7" t="inlineStr">
        <is>
          <t>150 x A5</t>
        </is>
      </c>
    </row>
    <row r="31">
      <c r="A31" s="7" t="n">
        <v>30</v>
      </c>
      <c r="B31" s="7" t="inlineStr">
        <is>
          <t>Impression sur panneaux FOREX de 2mm</t>
        </is>
      </c>
      <c r="C31" s="7" t="inlineStr">
        <is>
          <t>200 cartels</t>
        </is>
      </c>
      <c r="D31" s="7" t="inlineStr">
        <is>
          <t>200 cartels</t>
        </is>
      </c>
      <c r="E31" s="7" t="n">
        <v>5</v>
      </c>
      <c r="F31" s="5" t="n">
        <v>360</v>
      </c>
      <c r="G31" s="7" t="inlineStr">
        <is>
          <t>M31</t>
        </is>
      </c>
      <c r="H31" s="20" t="n">
        <v>6.216</v>
      </c>
      <c r="I31" s="7" t="n"/>
      <c r="J31" s="20" t="n"/>
      <c r="K31" s="7" t="n"/>
      <c r="L31" s="7" t="n"/>
      <c r="M31" s="7" t="n"/>
      <c r="N31" s="7" t="n"/>
      <c r="O31" s="6">
        <f>IF(G31="","",IF(IFERROR(VLOOKUP(G31,Materialen!$A$2:$I$39,4,0),"")="plaat",Instellingen!$B$4,Instellingen!$B$3))</f>
        <v/>
      </c>
      <c r="P31" s="5">
        <f>ROUND(N(H31)*IFERROR(IF(VLOOKUP(G31,Materialen!$A$2:$I$39,9,0)="",0,VLOOKUP(G31,Materialen!$A$2:$I$39,9,0)),0)*(1+N(O31))+N(J31)*IFERROR(IF(VLOOKUP(I31,Materialen!$A$2:$I$39,9,0)="",0,VLOOKUP(I31,Materialen!$A$2:$I$39,9,0)),0)*(1+N(O31))+N(L31)*IFERROR(IF(VLOOKUP(K31,Materialen!$A$2:$I$39,9,0)="",0,VLOOKUP(K31,Materialen!$A$2:$I$39,9,0)),0)+N(N31)*IFERROR(IF(VLOOKUP(M31,Materialen!$A$2:$I$39,9,0)="",0,VLOOKUP(M31,Materialen!$A$2:$I$39,9,0)),0),2)</f>
        <v/>
      </c>
      <c r="Q31" s="5">
        <f>IF(G31="",0,IF(IFERROR(VLOOKUP(G31,Materialen!$A$2:$I$39,5,0),"N")="J",ROUND(N(H31)*(1+N(O31))*Instellingen!$B$8,2),0))</f>
        <v/>
      </c>
      <c r="R31" s="18" t="n"/>
      <c r="S31" s="5">
        <f>ROUND(N(R31)/60*Instellingen!$B$9,2)</f>
        <v/>
      </c>
      <c r="T31" s="14" t="n"/>
      <c r="U31" s="5">
        <f>P31+Q31+S31+N(T31)</f>
        <v/>
      </c>
      <c r="V31" s="5">
        <f>IF(AC31&lt;&gt;"OK","",F31-U31)</f>
        <v/>
      </c>
      <c r="W31" s="6">
        <f>IF(OR(F31=0,AC31&lt;&gt;"OK"),"",V31/F31)</f>
        <v/>
      </c>
      <c r="X31" s="5">
        <f>IF(N(H31)&gt;0,F31/H31,"")</f>
        <v/>
      </c>
      <c r="Y31" s="5">
        <f>IF(N(H31)&gt;0,IFERROR(IF(VLOOKUP(G31,Materialen!$A$2:$I$39,9,0)="",0,VLOOKUP(G31,Materialen!$A$2:$I$39,9,0)),0),"")</f>
        <v/>
      </c>
      <c r="Z31" s="5">
        <f>ROUND(E31*F31,2)</f>
        <v/>
      </c>
      <c r="AA31" s="5">
        <f>IF(AC31&lt;&gt;"OK","",ROUND(E31*U31,2))</f>
        <v/>
      </c>
      <c r="AB31" s="5">
        <f>IF(AC31&lt;&gt;"OK","",Z31-AA31)</f>
        <v/>
      </c>
      <c r="AC31" s="7">
        <f>IF((IF(G31="",0,IF(IFERROR(IF(VLOOKUP(G31,Materialen!$A$2:$I$39,9,0)="",0,VLOOKUP(G31,Materialen!$A$2:$I$39,9,0)),0)=0,1,0))+IF(I31="",0,IF(IFERROR(IF(VLOOKUP(I31,Materialen!$A$2:$I$39,9,0)="",0,VLOOKUP(I31,Materialen!$A$2:$I$39,9,0)),0)=0,1,0))+IF(K31="",0,IF(IFERROR(IF(VLOOKUP(K31,Materialen!$A$2:$I$39,9,0)="",0,VLOOKUP(K31,Materialen!$A$2:$I$39,9,0)),0)=0,1,0))+IF(M31="",0,IF(IFERROR(IF(VLOOKUP(M31,Materialen!$A$2:$I$39,9,0)="",0,VLOOKUP(M31,Materialen!$A$2:$I$39,9,0)),0)=0,1,0)))&gt;0,"aankoopprijs ontbreekt",IF(AND(G31="",K31="",N(T31)=0,N(R31)=0),"kost invullen (arbeid/overig)","OK"))</f>
        <v/>
      </c>
      <c r="AD31" s="7" t="inlineStr">
        <is>
          <t>200 x A5</t>
        </is>
      </c>
    </row>
    <row r="32">
      <c r="A32" s="7" t="n">
        <v>31</v>
      </c>
      <c r="B32" s="7" t="inlineStr">
        <is>
          <t>Impression sur panneaux FOREX de 2mm</t>
        </is>
      </c>
      <c r="C32" s="7" t="inlineStr">
        <is>
          <t>10 quantités supplémentaires</t>
        </is>
      </c>
      <c r="D32" s="7" t="inlineStr">
        <is>
          <t>10 quantités supplémentaires</t>
        </is>
      </c>
      <c r="E32" s="7" t="n">
        <v>5</v>
      </c>
      <c r="F32" s="5" t="n">
        <v>15</v>
      </c>
      <c r="G32" s="7" t="inlineStr">
        <is>
          <t>M31</t>
        </is>
      </c>
      <c r="H32" s="20" t="n">
        <v>0.3108</v>
      </c>
      <c r="I32" s="7" t="n"/>
      <c r="J32" s="20" t="n"/>
      <c r="K32" s="7" t="n"/>
      <c r="L32" s="7" t="n"/>
      <c r="M32" s="7" t="n"/>
      <c r="N32" s="7" t="n"/>
      <c r="O32" s="6">
        <f>IF(G32="","",IF(IFERROR(VLOOKUP(G32,Materialen!$A$2:$I$39,4,0),"")="plaat",Instellingen!$B$4,Instellingen!$B$3))</f>
        <v/>
      </c>
      <c r="P32" s="5">
        <f>ROUND(N(H32)*IFERROR(IF(VLOOKUP(G32,Materialen!$A$2:$I$39,9,0)="",0,VLOOKUP(G32,Materialen!$A$2:$I$39,9,0)),0)*(1+N(O32))+N(J32)*IFERROR(IF(VLOOKUP(I32,Materialen!$A$2:$I$39,9,0)="",0,VLOOKUP(I32,Materialen!$A$2:$I$39,9,0)),0)*(1+N(O32))+N(L32)*IFERROR(IF(VLOOKUP(K32,Materialen!$A$2:$I$39,9,0)="",0,VLOOKUP(K32,Materialen!$A$2:$I$39,9,0)),0)+N(N32)*IFERROR(IF(VLOOKUP(M32,Materialen!$A$2:$I$39,9,0)="",0,VLOOKUP(M32,Materialen!$A$2:$I$39,9,0)),0),2)</f>
        <v/>
      </c>
      <c r="Q32" s="5">
        <f>IF(G32="",0,IF(IFERROR(VLOOKUP(G32,Materialen!$A$2:$I$39,5,0),"N")="J",ROUND(N(H32)*(1+N(O32))*Instellingen!$B$8,2),0))</f>
        <v/>
      </c>
      <c r="R32" s="18" t="n"/>
      <c r="S32" s="5">
        <f>ROUND(N(R32)/60*Instellingen!$B$9,2)</f>
        <v/>
      </c>
      <c r="T32" s="14" t="n"/>
      <c r="U32" s="5">
        <f>P32+Q32+S32+N(T32)</f>
        <v/>
      </c>
      <c r="V32" s="5">
        <f>IF(AC32&lt;&gt;"OK","",F32-U32)</f>
        <v/>
      </c>
      <c r="W32" s="6">
        <f>IF(OR(F32=0,AC32&lt;&gt;"OK"),"",V32/F32)</f>
        <v/>
      </c>
      <c r="X32" s="5">
        <f>IF(N(H32)&gt;0,F32/H32,"")</f>
        <v/>
      </c>
      <c r="Y32" s="5">
        <f>IF(N(H32)&gt;0,IFERROR(IF(VLOOKUP(G32,Materialen!$A$2:$I$39,9,0)="",0,VLOOKUP(G32,Materialen!$A$2:$I$39,9,0)),0),"")</f>
        <v/>
      </c>
      <c r="Z32" s="5">
        <f>ROUND(E32*F32,2)</f>
        <v/>
      </c>
      <c r="AA32" s="5">
        <f>IF(AC32&lt;&gt;"OK","",ROUND(E32*U32,2))</f>
        <v/>
      </c>
      <c r="AB32" s="5">
        <f>IF(AC32&lt;&gt;"OK","",Z32-AA32)</f>
        <v/>
      </c>
      <c r="AC32" s="7">
        <f>IF((IF(G32="",0,IF(IFERROR(IF(VLOOKUP(G32,Materialen!$A$2:$I$39,9,0)="",0,VLOOKUP(G32,Materialen!$A$2:$I$39,9,0)),0)=0,1,0))+IF(I32="",0,IF(IFERROR(IF(VLOOKUP(I32,Materialen!$A$2:$I$39,9,0)="",0,VLOOKUP(I32,Materialen!$A$2:$I$39,9,0)),0)=0,1,0))+IF(K32="",0,IF(IFERROR(IF(VLOOKUP(K32,Materialen!$A$2:$I$39,9,0)="",0,VLOOKUP(K32,Materialen!$A$2:$I$39,9,0)),0)=0,1,0))+IF(M32="",0,IF(IFERROR(IF(VLOOKUP(M32,Materialen!$A$2:$I$39,9,0)="",0,VLOOKUP(M32,Materialen!$A$2:$I$39,9,0)),0)=0,1,0)))&gt;0,"aankoopprijs ontbreekt",IF(AND(G32="",K32="",N(T32)=0,N(R32)=0),"kost invullen (arbeid/overig)","OK"))</f>
        <v/>
      </c>
      <c r="AD32" s="7" t="inlineStr">
        <is>
          <t>10 x A5</t>
        </is>
      </c>
    </row>
    <row r="33">
      <c r="A33" s="7" t="n">
        <v>32</v>
      </c>
      <c r="B33" s="7" t="inlineStr">
        <is>
          <t>Impression sur panneau FOREX de 3mm</t>
        </is>
      </c>
      <c r="C33" s="7" t="inlineStr">
        <is>
          <t>10 cartels</t>
        </is>
      </c>
      <c r="D33" s="7" t="inlineStr">
        <is>
          <t>10 cartels</t>
        </is>
      </c>
      <c r="E33" s="7" t="n">
        <v>5</v>
      </c>
      <c r="F33" s="5" t="n">
        <v>40</v>
      </c>
      <c r="G33" s="7" t="inlineStr">
        <is>
          <t>M32</t>
        </is>
      </c>
      <c r="H33" s="20" t="n">
        <v>0.3108</v>
      </c>
      <c r="I33" s="7" t="n"/>
      <c r="J33" s="20" t="n"/>
      <c r="K33" s="7" t="n"/>
      <c r="L33" s="7" t="n"/>
      <c r="M33" s="7" t="n"/>
      <c r="N33" s="7" t="n"/>
      <c r="O33" s="6">
        <f>IF(G33="","",IF(IFERROR(VLOOKUP(G33,Materialen!$A$2:$I$39,4,0),"")="plaat",Instellingen!$B$4,Instellingen!$B$3))</f>
        <v/>
      </c>
      <c r="P33" s="5">
        <f>ROUND(N(H33)*IFERROR(IF(VLOOKUP(G33,Materialen!$A$2:$I$39,9,0)="",0,VLOOKUP(G33,Materialen!$A$2:$I$39,9,0)),0)*(1+N(O33))+N(J33)*IFERROR(IF(VLOOKUP(I33,Materialen!$A$2:$I$39,9,0)="",0,VLOOKUP(I33,Materialen!$A$2:$I$39,9,0)),0)*(1+N(O33))+N(L33)*IFERROR(IF(VLOOKUP(K33,Materialen!$A$2:$I$39,9,0)="",0,VLOOKUP(K33,Materialen!$A$2:$I$39,9,0)),0)+N(N33)*IFERROR(IF(VLOOKUP(M33,Materialen!$A$2:$I$39,9,0)="",0,VLOOKUP(M33,Materialen!$A$2:$I$39,9,0)),0),2)</f>
        <v/>
      </c>
      <c r="Q33" s="5">
        <f>IF(G33="",0,IF(IFERROR(VLOOKUP(G33,Materialen!$A$2:$I$39,5,0),"N")="J",ROUND(N(H33)*(1+N(O33))*Instellingen!$B$8,2),0))</f>
        <v/>
      </c>
      <c r="R33" s="18" t="n"/>
      <c r="S33" s="5">
        <f>ROUND(N(R33)/60*Instellingen!$B$9,2)</f>
        <v/>
      </c>
      <c r="T33" s="14" t="n"/>
      <c r="U33" s="5">
        <f>P33+Q33+S33+N(T33)</f>
        <v/>
      </c>
      <c r="V33" s="5">
        <f>IF(AC33&lt;&gt;"OK","",F33-U33)</f>
        <v/>
      </c>
      <c r="W33" s="6">
        <f>IF(OR(F33=0,AC33&lt;&gt;"OK"),"",V33/F33)</f>
        <v/>
      </c>
      <c r="X33" s="5">
        <f>IF(N(H33)&gt;0,F33/H33,"")</f>
        <v/>
      </c>
      <c r="Y33" s="5">
        <f>IF(N(H33)&gt;0,IFERROR(IF(VLOOKUP(G33,Materialen!$A$2:$I$39,9,0)="",0,VLOOKUP(G33,Materialen!$A$2:$I$39,9,0)),0),"")</f>
        <v/>
      </c>
      <c r="Z33" s="5">
        <f>ROUND(E33*F33,2)</f>
        <v/>
      </c>
      <c r="AA33" s="5">
        <f>IF(AC33&lt;&gt;"OK","",ROUND(E33*U33,2))</f>
        <v/>
      </c>
      <c r="AB33" s="5">
        <f>IF(AC33&lt;&gt;"OK","",Z33-AA33)</f>
        <v/>
      </c>
      <c r="AC33" s="7">
        <f>IF((IF(G33="",0,IF(IFERROR(IF(VLOOKUP(G33,Materialen!$A$2:$I$39,9,0)="",0,VLOOKUP(G33,Materialen!$A$2:$I$39,9,0)),0)=0,1,0))+IF(I33="",0,IF(IFERROR(IF(VLOOKUP(I33,Materialen!$A$2:$I$39,9,0)="",0,VLOOKUP(I33,Materialen!$A$2:$I$39,9,0)),0)=0,1,0))+IF(K33="",0,IF(IFERROR(IF(VLOOKUP(K33,Materialen!$A$2:$I$39,9,0)="",0,VLOOKUP(K33,Materialen!$A$2:$I$39,9,0)),0)=0,1,0))+IF(M33="",0,IF(IFERROR(IF(VLOOKUP(M33,Materialen!$A$2:$I$39,9,0)="",0,VLOOKUP(M33,Materialen!$A$2:$I$39,9,0)),0)=0,1,0)))&gt;0,"aankoopprijs ontbreekt",IF(AND(G33="",K33="",N(T33)=0,N(R33)=0),"kost invullen (arbeid/overig)","OK"))</f>
        <v/>
      </c>
      <c r="AD33" s="7" t="inlineStr">
        <is>
          <t>10 x A5</t>
        </is>
      </c>
    </row>
    <row r="34">
      <c r="A34" s="7" t="n">
        <v>33</v>
      </c>
      <c r="B34" s="7" t="inlineStr">
        <is>
          <t>Impression sur panneau FOREX de 3mm</t>
        </is>
      </c>
      <c r="C34" s="7" t="inlineStr">
        <is>
          <t>25 cartels</t>
        </is>
      </c>
      <c r="D34" s="7" t="inlineStr">
        <is>
          <t>25 cartels</t>
        </is>
      </c>
      <c r="E34" s="7" t="n">
        <v>5</v>
      </c>
      <c r="F34" s="5" t="n">
        <v>80</v>
      </c>
      <c r="G34" s="7" t="inlineStr">
        <is>
          <t>M32</t>
        </is>
      </c>
      <c r="H34" s="20" t="n">
        <v>0.777</v>
      </c>
      <c r="I34" s="7" t="n"/>
      <c r="J34" s="20" t="n"/>
      <c r="K34" s="7" t="n"/>
      <c r="L34" s="7" t="n"/>
      <c r="M34" s="7" t="n"/>
      <c r="N34" s="7" t="n"/>
      <c r="O34" s="6">
        <f>IF(G34="","",IF(IFERROR(VLOOKUP(G34,Materialen!$A$2:$I$39,4,0),"")="plaat",Instellingen!$B$4,Instellingen!$B$3))</f>
        <v/>
      </c>
      <c r="P34" s="5">
        <f>ROUND(N(H34)*IFERROR(IF(VLOOKUP(G34,Materialen!$A$2:$I$39,9,0)="",0,VLOOKUP(G34,Materialen!$A$2:$I$39,9,0)),0)*(1+N(O34))+N(J34)*IFERROR(IF(VLOOKUP(I34,Materialen!$A$2:$I$39,9,0)="",0,VLOOKUP(I34,Materialen!$A$2:$I$39,9,0)),0)*(1+N(O34))+N(L34)*IFERROR(IF(VLOOKUP(K34,Materialen!$A$2:$I$39,9,0)="",0,VLOOKUP(K34,Materialen!$A$2:$I$39,9,0)),0)+N(N34)*IFERROR(IF(VLOOKUP(M34,Materialen!$A$2:$I$39,9,0)="",0,VLOOKUP(M34,Materialen!$A$2:$I$39,9,0)),0),2)</f>
        <v/>
      </c>
      <c r="Q34" s="5">
        <f>IF(G34="",0,IF(IFERROR(VLOOKUP(G34,Materialen!$A$2:$I$39,5,0),"N")="J",ROUND(N(H34)*(1+N(O34))*Instellingen!$B$8,2),0))</f>
        <v/>
      </c>
      <c r="R34" s="18" t="n"/>
      <c r="S34" s="5">
        <f>ROUND(N(R34)/60*Instellingen!$B$9,2)</f>
        <v/>
      </c>
      <c r="T34" s="14" t="n"/>
      <c r="U34" s="5">
        <f>P34+Q34+S34+N(T34)</f>
        <v/>
      </c>
      <c r="V34" s="5">
        <f>IF(AC34&lt;&gt;"OK","",F34-U34)</f>
        <v/>
      </c>
      <c r="W34" s="6">
        <f>IF(OR(F34=0,AC34&lt;&gt;"OK"),"",V34/F34)</f>
        <v/>
      </c>
      <c r="X34" s="5">
        <f>IF(N(H34)&gt;0,F34/H34,"")</f>
        <v/>
      </c>
      <c r="Y34" s="5">
        <f>IF(N(H34)&gt;0,IFERROR(IF(VLOOKUP(G34,Materialen!$A$2:$I$39,9,0)="",0,VLOOKUP(G34,Materialen!$A$2:$I$39,9,0)),0),"")</f>
        <v/>
      </c>
      <c r="Z34" s="5">
        <f>ROUND(E34*F34,2)</f>
        <v/>
      </c>
      <c r="AA34" s="5">
        <f>IF(AC34&lt;&gt;"OK","",ROUND(E34*U34,2))</f>
        <v/>
      </c>
      <c r="AB34" s="5">
        <f>IF(AC34&lt;&gt;"OK","",Z34-AA34)</f>
        <v/>
      </c>
      <c r="AC34" s="7">
        <f>IF((IF(G34="",0,IF(IFERROR(IF(VLOOKUP(G34,Materialen!$A$2:$I$39,9,0)="",0,VLOOKUP(G34,Materialen!$A$2:$I$39,9,0)),0)=0,1,0))+IF(I34="",0,IF(IFERROR(IF(VLOOKUP(I34,Materialen!$A$2:$I$39,9,0)="",0,VLOOKUP(I34,Materialen!$A$2:$I$39,9,0)),0)=0,1,0))+IF(K34="",0,IF(IFERROR(IF(VLOOKUP(K34,Materialen!$A$2:$I$39,9,0)="",0,VLOOKUP(K34,Materialen!$A$2:$I$39,9,0)),0)=0,1,0))+IF(M34="",0,IF(IFERROR(IF(VLOOKUP(M34,Materialen!$A$2:$I$39,9,0)="",0,VLOOKUP(M34,Materialen!$A$2:$I$39,9,0)),0)=0,1,0)))&gt;0,"aankoopprijs ontbreekt",IF(AND(G34="",K34="",N(T34)=0,N(R34)=0),"kost invullen (arbeid/overig)","OK"))</f>
        <v/>
      </c>
      <c r="AD34" s="7" t="inlineStr">
        <is>
          <t>25 x A5</t>
        </is>
      </c>
    </row>
    <row r="35">
      <c r="A35" s="7" t="n">
        <v>34</v>
      </c>
      <c r="B35" s="7" t="inlineStr">
        <is>
          <t>Impression sur panneau FOREX de 3mm</t>
        </is>
      </c>
      <c r="C35" s="7" t="inlineStr">
        <is>
          <t>50 cartels</t>
        </is>
      </c>
      <c r="D35" s="7" t="inlineStr">
        <is>
          <t>50 cartels</t>
        </is>
      </c>
      <c r="E35" s="7" t="n">
        <v>5</v>
      </c>
      <c r="F35" s="5" t="n">
        <v>135</v>
      </c>
      <c r="G35" s="7" t="inlineStr">
        <is>
          <t>M32</t>
        </is>
      </c>
      <c r="H35" s="20" t="n">
        <v>1.554</v>
      </c>
      <c r="I35" s="7" t="n"/>
      <c r="J35" s="20" t="n"/>
      <c r="K35" s="7" t="n"/>
      <c r="L35" s="7" t="n"/>
      <c r="M35" s="7" t="n"/>
      <c r="N35" s="7" t="n"/>
      <c r="O35" s="6">
        <f>IF(G35="","",IF(IFERROR(VLOOKUP(G35,Materialen!$A$2:$I$39,4,0),"")="plaat",Instellingen!$B$4,Instellingen!$B$3))</f>
        <v/>
      </c>
      <c r="P35" s="5">
        <f>ROUND(N(H35)*IFERROR(IF(VLOOKUP(G35,Materialen!$A$2:$I$39,9,0)="",0,VLOOKUP(G35,Materialen!$A$2:$I$39,9,0)),0)*(1+N(O35))+N(J35)*IFERROR(IF(VLOOKUP(I35,Materialen!$A$2:$I$39,9,0)="",0,VLOOKUP(I35,Materialen!$A$2:$I$39,9,0)),0)*(1+N(O35))+N(L35)*IFERROR(IF(VLOOKUP(K35,Materialen!$A$2:$I$39,9,0)="",0,VLOOKUP(K35,Materialen!$A$2:$I$39,9,0)),0)+N(N35)*IFERROR(IF(VLOOKUP(M35,Materialen!$A$2:$I$39,9,0)="",0,VLOOKUP(M35,Materialen!$A$2:$I$39,9,0)),0),2)</f>
        <v/>
      </c>
      <c r="Q35" s="5">
        <f>IF(G35="",0,IF(IFERROR(VLOOKUP(G35,Materialen!$A$2:$I$39,5,0),"N")="J",ROUND(N(H35)*(1+N(O35))*Instellingen!$B$8,2),0))</f>
        <v/>
      </c>
      <c r="R35" s="18" t="n"/>
      <c r="S35" s="5">
        <f>ROUND(N(R35)/60*Instellingen!$B$9,2)</f>
        <v/>
      </c>
      <c r="T35" s="14" t="n"/>
      <c r="U35" s="5">
        <f>P35+Q35+S35+N(T35)</f>
        <v/>
      </c>
      <c r="V35" s="5">
        <f>IF(AC35&lt;&gt;"OK","",F35-U35)</f>
        <v/>
      </c>
      <c r="W35" s="6">
        <f>IF(OR(F35=0,AC35&lt;&gt;"OK"),"",V35/F35)</f>
        <v/>
      </c>
      <c r="X35" s="5">
        <f>IF(N(H35)&gt;0,F35/H35,"")</f>
        <v/>
      </c>
      <c r="Y35" s="5">
        <f>IF(N(H35)&gt;0,IFERROR(IF(VLOOKUP(G35,Materialen!$A$2:$I$39,9,0)="",0,VLOOKUP(G35,Materialen!$A$2:$I$39,9,0)),0),"")</f>
        <v/>
      </c>
      <c r="Z35" s="5">
        <f>ROUND(E35*F35,2)</f>
        <v/>
      </c>
      <c r="AA35" s="5">
        <f>IF(AC35&lt;&gt;"OK","",ROUND(E35*U35,2))</f>
        <v/>
      </c>
      <c r="AB35" s="5">
        <f>IF(AC35&lt;&gt;"OK","",Z35-AA35)</f>
        <v/>
      </c>
      <c r="AC35" s="7">
        <f>IF((IF(G35="",0,IF(IFERROR(IF(VLOOKUP(G35,Materialen!$A$2:$I$39,9,0)="",0,VLOOKUP(G35,Materialen!$A$2:$I$39,9,0)),0)=0,1,0))+IF(I35="",0,IF(IFERROR(IF(VLOOKUP(I35,Materialen!$A$2:$I$39,9,0)="",0,VLOOKUP(I35,Materialen!$A$2:$I$39,9,0)),0)=0,1,0))+IF(K35="",0,IF(IFERROR(IF(VLOOKUP(K35,Materialen!$A$2:$I$39,9,0)="",0,VLOOKUP(K35,Materialen!$A$2:$I$39,9,0)),0)=0,1,0))+IF(M35="",0,IF(IFERROR(IF(VLOOKUP(M35,Materialen!$A$2:$I$39,9,0)="",0,VLOOKUP(M35,Materialen!$A$2:$I$39,9,0)),0)=0,1,0)))&gt;0,"aankoopprijs ontbreekt",IF(AND(G35="",K35="",N(T35)=0,N(R35)=0),"kost invullen (arbeid/overig)","OK"))</f>
        <v/>
      </c>
      <c r="AD35" s="7" t="inlineStr">
        <is>
          <t>50 x A5</t>
        </is>
      </c>
    </row>
    <row r="36">
      <c r="A36" s="7" t="n">
        <v>35</v>
      </c>
      <c r="B36" s="7" t="inlineStr">
        <is>
          <t>Impression sur panneau FOREX de 3mm</t>
        </is>
      </c>
      <c r="C36" s="7" t="inlineStr">
        <is>
          <t>100 cartels</t>
        </is>
      </c>
      <c r="D36" s="7" t="inlineStr">
        <is>
          <t>100 cartels</t>
        </is>
      </c>
      <c r="E36" s="7" t="n">
        <v>5</v>
      </c>
      <c r="F36" s="5" t="n">
        <v>240</v>
      </c>
      <c r="G36" s="7" t="inlineStr">
        <is>
          <t>M32</t>
        </is>
      </c>
      <c r="H36" s="20" t="n">
        <v>3.108</v>
      </c>
      <c r="I36" s="7" t="n"/>
      <c r="J36" s="20" t="n"/>
      <c r="K36" s="7" t="n"/>
      <c r="L36" s="7" t="n"/>
      <c r="M36" s="7" t="n"/>
      <c r="N36" s="7" t="n"/>
      <c r="O36" s="6">
        <f>IF(G36="","",IF(IFERROR(VLOOKUP(G36,Materialen!$A$2:$I$39,4,0),"")="plaat",Instellingen!$B$4,Instellingen!$B$3))</f>
        <v/>
      </c>
      <c r="P36" s="5">
        <f>ROUND(N(H36)*IFERROR(IF(VLOOKUP(G36,Materialen!$A$2:$I$39,9,0)="",0,VLOOKUP(G36,Materialen!$A$2:$I$39,9,0)),0)*(1+N(O36))+N(J36)*IFERROR(IF(VLOOKUP(I36,Materialen!$A$2:$I$39,9,0)="",0,VLOOKUP(I36,Materialen!$A$2:$I$39,9,0)),0)*(1+N(O36))+N(L36)*IFERROR(IF(VLOOKUP(K36,Materialen!$A$2:$I$39,9,0)="",0,VLOOKUP(K36,Materialen!$A$2:$I$39,9,0)),0)+N(N36)*IFERROR(IF(VLOOKUP(M36,Materialen!$A$2:$I$39,9,0)="",0,VLOOKUP(M36,Materialen!$A$2:$I$39,9,0)),0),2)</f>
        <v/>
      </c>
      <c r="Q36" s="5">
        <f>IF(G36="",0,IF(IFERROR(VLOOKUP(G36,Materialen!$A$2:$I$39,5,0),"N")="J",ROUND(N(H36)*(1+N(O36))*Instellingen!$B$8,2),0))</f>
        <v/>
      </c>
      <c r="R36" s="18" t="n"/>
      <c r="S36" s="5">
        <f>ROUND(N(R36)/60*Instellingen!$B$9,2)</f>
        <v/>
      </c>
      <c r="T36" s="14" t="n"/>
      <c r="U36" s="5">
        <f>P36+Q36+S36+N(T36)</f>
        <v/>
      </c>
      <c r="V36" s="5">
        <f>IF(AC36&lt;&gt;"OK","",F36-U36)</f>
        <v/>
      </c>
      <c r="W36" s="6">
        <f>IF(OR(F36=0,AC36&lt;&gt;"OK"),"",V36/F36)</f>
        <v/>
      </c>
      <c r="X36" s="5">
        <f>IF(N(H36)&gt;0,F36/H36,"")</f>
        <v/>
      </c>
      <c r="Y36" s="5">
        <f>IF(N(H36)&gt;0,IFERROR(IF(VLOOKUP(G36,Materialen!$A$2:$I$39,9,0)="",0,VLOOKUP(G36,Materialen!$A$2:$I$39,9,0)),0),"")</f>
        <v/>
      </c>
      <c r="Z36" s="5">
        <f>ROUND(E36*F36,2)</f>
        <v/>
      </c>
      <c r="AA36" s="5">
        <f>IF(AC36&lt;&gt;"OK","",ROUND(E36*U36,2))</f>
        <v/>
      </c>
      <c r="AB36" s="5">
        <f>IF(AC36&lt;&gt;"OK","",Z36-AA36)</f>
        <v/>
      </c>
      <c r="AC36" s="7">
        <f>IF((IF(G36="",0,IF(IFERROR(IF(VLOOKUP(G36,Materialen!$A$2:$I$39,9,0)="",0,VLOOKUP(G36,Materialen!$A$2:$I$39,9,0)),0)=0,1,0))+IF(I36="",0,IF(IFERROR(IF(VLOOKUP(I36,Materialen!$A$2:$I$39,9,0)="",0,VLOOKUP(I36,Materialen!$A$2:$I$39,9,0)),0)=0,1,0))+IF(K36="",0,IF(IFERROR(IF(VLOOKUP(K36,Materialen!$A$2:$I$39,9,0)="",0,VLOOKUP(K36,Materialen!$A$2:$I$39,9,0)),0)=0,1,0))+IF(M36="",0,IF(IFERROR(IF(VLOOKUP(M36,Materialen!$A$2:$I$39,9,0)="",0,VLOOKUP(M36,Materialen!$A$2:$I$39,9,0)),0)=0,1,0)))&gt;0,"aankoopprijs ontbreekt",IF(AND(G36="",K36="",N(T36)=0,N(R36)=0),"kost invullen (arbeid/overig)","OK"))</f>
        <v/>
      </c>
      <c r="AD36" s="7" t="inlineStr">
        <is>
          <t>100 x A5</t>
        </is>
      </c>
    </row>
    <row r="37">
      <c r="A37" s="7" t="n">
        <v>36</v>
      </c>
      <c r="B37" s="7" t="inlineStr">
        <is>
          <t>Impression sur panneau FOREX de 3mm</t>
        </is>
      </c>
      <c r="C37" s="7" t="inlineStr">
        <is>
          <t>150 cartels</t>
        </is>
      </c>
      <c r="D37" s="7" t="inlineStr">
        <is>
          <t>150 cartels</t>
        </is>
      </c>
      <c r="E37" s="7" t="n">
        <v>5</v>
      </c>
      <c r="F37" s="5" t="n">
        <v>330</v>
      </c>
      <c r="G37" s="7" t="inlineStr">
        <is>
          <t>M32</t>
        </is>
      </c>
      <c r="H37" s="20" t="n">
        <v>4.662</v>
      </c>
      <c r="I37" s="7" t="n"/>
      <c r="J37" s="20" t="n"/>
      <c r="K37" s="7" t="n"/>
      <c r="L37" s="7" t="n"/>
      <c r="M37" s="7" t="n"/>
      <c r="N37" s="7" t="n"/>
      <c r="O37" s="6">
        <f>IF(G37="","",IF(IFERROR(VLOOKUP(G37,Materialen!$A$2:$I$39,4,0),"")="plaat",Instellingen!$B$4,Instellingen!$B$3))</f>
        <v/>
      </c>
      <c r="P37" s="5">
        <f>ROUND(N(H37)*IFERROR(IF(VLOOKUP(G37,Materialen!$A$2:$I$39,9,0)="",0,VLOOKUP(G37,Materialen!$A$2:$I$39,9,0)),0)*(1+N(O37))+N(J37)*IFERROR(IF(VLOOKUP(I37,Materialen!$A$2:$I$39,9,0)="",0,VLOOKUP(I37,Materialen!$A$2:$I$39,9,0)),0)*(1+N(O37))+N(L37)*IFERROR(IF(VLOOKUP(K37,Materialen!$A$2:$I$39,9,0)="",0,VLOOKUP(K37,Materialen!$A$2:$I$39,9,0)),0)+N(N37)*IFERROR(IF(VLOOKUP(M37,Materialen!$A$2:$I$39,9,0)="",0,VLOOKUP(M37,Materialen!$A$2:$I$39,9,0)),0),2)</f>
        <v/>
      </c>
      <c r="Q37" s="5">
        <f>IF(G37="",0,IF(IFERROR(VLOOKUP(G37,Materialen!$A$2:$I$39,5,0),"N")="J",ROUND(N(H37)*(1+N(O37))*Instellingen!$B$8,2),0))</f>
        <v/>
      </c>
      <c r="R37" s="18" t="n"/>
      <c r="S37" s="5">
        <f>ROUND(N(R37)/60*Instellingen!$B$9,2)</f>
        <v/>
      </c>
      <c r="T37" s="14" t="n"/>
      <c r="U37" s="5">
        <f>P37+Q37+S37+N(T37)</f>
        <v/>
      </c>
      <c r="V37" s="5">
        <f>IF(AC37&lt;&gt;"OK","",F37-U37)</f>
        <v/>
      </c>
      <c r="W37" s="6">
        <f>IF(OR(F37=0,AC37&lt;&gt;"OK"),"",V37/F37)</f>
        <v/>
      </c>
      <c r="X37" s="5">
        <f>IF(N(H37)&gt;0,F37/H37,"")</f>
        <v/>
      </c>
      <c r="Y37" s="5">
        <f>IF(N(H37)&gt;0,IFERROR(IF(VLOOKUP(G37,Materialen!$A$2:$I$39,9,0)="",0,VLOOKUP(G37,Materialen!$A$2:$I$39,9,0)),0),"")</f>
        <v/>
      </c>
      <c r="Z37" s="5">
        <f>ROUND(E37*F37,2)</f>
        <v/>
      </c>
      <c r="AA37" s="5">
        <f>IF(AC37&lt;&gt;"OK","",ROUND(E37*U37,2))</f>
        <v/>
      </c>
      <c r="AB37" s="5">
        <f>IF(AC37&lt;&gt;"OK","",Z37-AA37)</f>
        <v/>
      </c>
      <c r="AC37" s="7">
        <f>IF((IF(G37="",0,IF(IFERROR(IF(VLOOKUP(G37,Materialen!$A$2:$I$39,9,0)="",0,VLOOKUP(G37,Materialen!$A$2:$I$39,9,0)),0)=0,1,0))+IF(I37="",0,IF(IFERROR(IF(VLOOKUP(I37,Materialen!$A$2:$I$39,9,0)="",0,VLOOKUP(I37,Materialen!$A$2:$I$39,9,0)),0)=0,1,0))+IF(K37="",0,IF(IFERROR(IF(VLOOKUP(K37,Materialen!$A$2:$I$39,9,0)="",0,VLOOKUP(K37,Materialen!$A$2:$I$39,9,0)),0)=0,1,0))+IF(M37="",0,IF(IFERROR(IF(VLOOKUP(M37,Materialen!$A$2:$I$39,9,0)="",0,VLOOKUP(M37,Materialen!$A$2:$I$39,9,0)),0)=0,1,0)))&gt;0,"aankoopprijs ontbreekt",IF(AND(G37="",K37="",N(T37)=0,N(R37)=0),"kost invullen (arbeid/overig)","OK"))</f>
        <v/>
      </c>
      <c r="AD37" s="7" t="inlineStr">
        <is>
          <t>150 x A5</t>
        </is>
      </c>
    </row>
    <row r="38">
      <c r="A38" s="7" t="n">
        <v>37</v>
      </c>
      <c r="B38" s="7" t="inlineStr">
        <is>
          <t>Impression sur panneau FOREX de 3mm</t>
        </is>
      </c>
      <c r="C38" s="7" t="inlineStr">
        <is>
          <t>200 cartels</t>
        </is>
      </c>
      <c r="D38" s="7" t="inlineStr">
        <is>
          <t>200 cartels</t>
        </is>
      </c>
      <c r="E38" s="7" t="n">
        <v>5</v>
      </c>
      <c r="F38" s="5" t="n">
        <v>410</v>
      </c>
      <c r="G38" s="7" t="inlineStr">
        <is>
          <t>M32</t>
        </is>
      </c>
      <c r="H38" s="20" t="n">
        <v>6.216</v>
      </c>
      <c r="I38" s="7" t="n"/>
      <c r="J38" s="20" t="n"/>
      <c r="K38" s="7" t="n"/>
      <c r="L38" s="7" t="n"/>
      <c r="M38" s="7" t="n"/>
      <c r="N38" s="7" t="n"/>
      <c r="O38" s="6">
        <f>IF(G38="","",IF(IFERROR(VLOOKUP(G38,Materialen!$A$2:$I$39,4,0),"")="plaat",Instellingen!$B$4,Instellingen!$B$3))</f>
        <v/>
      </c>
      <c r="P38" s="5">
        <f>ROUND(N(H38)*IFERROR(IF(VLOOKUP(G38,Materialen!$A$2:$I$39,9,0)="",0,VLOOKUP(G38,Materialen!$A$2:$I$39,9,0)),0)*(1+N(O38))+N(J38)*IFERROR(IF(VLOOKUP(I38,Materialen!$A$2:$I$39,9,0)="",0,VLOOKUP(I38,Materialen!$A$2:$I$39,9,0)),0)*(1+N(O38))+N(L38)*IFERROR(IF(VLOOKUP(K38,Materialen!$A$2:$I$39,9,0)="",0,VLOOKUP(K38,Materialen!$A$2:$I$39,9,0)),0)+N(N38)*IFERROR(IF(VLOOKUP(M38,Materialen!$A$2:$I$39,9,0)="",0,VLOOKUP(M38,Materialen!$A$2:$I$39,9,0)),0),2)</f>
        <v/>
      </c>
      <c r="Q38" s="5">
        <f>IF(G38="",0,IF(IFERROR(VLOOKUP(G38,Materialen!$A$2:$I$39,5,0),"N")="J",ROUND(N(H38)*(1+N(O38))*Instellingen!$B$8,2),0))</f>
        <v/>
      </c>
      <c r="R38" s="18" t="n"/>
      <c r="S38" s="5">
        <f>ROUND(N(R38)/60*Instellingen!$B$9,2)</f>
        <v/>
      </c>
      <c r="T38" s="14" t="n"/>
      <c r="U38" s="5">
        <f>P38+Q38+S38+N(T38)</f>
        <v/>
      </c>
      <c r="V38" s="5">
        <f>IF(AC38&lt;&gt;"OK","",F38-U38)</f>
        <v/>
      </c>
      <c r="W38" s="6">
        <f>IF(OR(F38=0,AC38&lt;&gt;"OK"),"",V38/F38)</f>
        <v/>
      </c>
      <c r="X38" s="5">
        <f>IF(N(H38)&gt;0,F38/H38,"")</f>
        <v/>
      </c>
      <c r="Y38" s="5">
        <f>IF(N(H38)&gt;0,IFERROR(IF(VLOOKUP(G38,Materialen!$A$2:$I$39,9,0)="",0,VLOOKUP(G38,Materialen!$A$2:$I$39,9,0)),0),"")</f>
        <v/>
      </c>
      <c r="Z38" s="5">
        <f>ROUND(E38*F38,2)</f>
        <v/>
      </c>
      <c r="AA38" s="5">
        <f>IF(AC38&lt;&gt;"OK","",ROUND(E38*U38,2))</f>
        <v/>
      </c>
      <c r="AB38" s="5">
        <f>IF(AC38&lt;&gt;"OK","",Z38-AA38)</f>
        <v/>
      </c>
      <c r="AC38" s="7">
        <f>IF((IF(G38="",0,IF(IFERROR(IF(VLOOKUP(G38,Materialen!$A$2:$I$39,9,0)="",0,VLOOKUP(G38,Materialen!$A$2:$I$39,9,0)),0)=0,1,0))+IF(I38="",0,IF(IFERROR(IF(VLOOKUP(I38,Materialen!$A$2:$I$39,9,0)="",0,VLOOKUP(I38,Materialen!$A$2:$I$39,9,0)),0)=0,1,0))+IF(K38="",0,IF(IFERROR(IF(VLOOKUP(K38,Materialen!$A$2:$I$39,9,0)="",0,VLOOKUP(K38,Materialen!$A$2:$I$39,9,0)),0)=0,1,0))+IF(M38="",0,IF(IFERROR(IF(VLOOKUP(M38,Materialen!$A$2:$I$39,9,0)="",0,VLOOKUP(M38,Materialen!$A$2:$I$39,9,0)),0)=0,1,0)))&gt;0,"aankoopprijs ontbreekt",IF(AND(G38="",K38="",N(T38)=0,N(R38)=0),"kost invullen (arbeid/overig)","OK"))</f>
        <v/>
      </c>
      <c r="AD38" s="7" t="inlineStr">
        <is>
          <t>200 x A5</t>
        </is>
      </c>
    </row>
    <row r="39">
      <c r="A39" s="7" t="n">
        <v>38</v>
      </c>
      <c r="B39" s="7" t="inlineStr">
        <is>
          <t>Impression sur panneau FOREX de 3mm</t>
        </is>
      </c>
      <c r="C39" s="7" t="inlineStr">
        <is>
          <t>10 quantités supplémentaires</t>
        </is>
      </c>
      <c r="D39" s="7" t="inlineStr">
        <is>
          <t>10 quantités supplémentaires</t>
        </is>
      </c>
      <c r="E39" s="7" t="n">
        <v>5</v>
      </c>
      <c r="F39" s="5" t="n">
        <v>17</v>
      </c>
      <c r="G39" s="7" t="inlineStr">
        <is>
          <t>M32</t>
        </is>
      </c>
      <c r="H39" s="20" t="n">
        <v>0.3108</v>
      </c>
      <c r="I39" s="7" t="n"/>
      <c r="J39" s="20" t="n"/>
      <c r="K39" s="7" t="n"/>
      <c r="L39" s="7" t="n"/>
      <c r="M39" s="7" t="n"/>
      <c r="N39" s="7" t="n"/>
      <c r="O39" s="6">
        <f>IF(G39="","",IF(IFERROR(VLOOKUP(G39,Materialen!$A$2:$I$39,4,0),"")="plaat",Instellingen!$B$4,Instellingen!$B$3))</f>
        <v/>
      </c>
      <c r="P39" s="5">
        <f>ROUND(N(H39)*IFERROR(IF(VLOOKUP(G39,Materialen!$A$2:$I$39,9,0)="",0,VLOOKUP(G39,Materialen!$A$2:$I$39,9,0)),0)*(1+N(O39))+N(J39)*IFERROR(IF(VLOOKUP(I39,Materialen!$A$2:$I$39,9,0)="",0,VLOOKUP(I39,Materialen!$A$2:$I$39,9,0)),0)*(1+N(O39))+N(L39)*IFERROR(IF(VLOOKUP(K39,Materialen!$A$2:$I$39,9,0)="",0,VLOOKUP(K39,Materialen!$A$2:$I$39,9,0)),0)+N(N39)*IFERROR(IF(VLOOKUP(M39,Materialen!$A$2:$I$39,9,0)="",0,VLOOKUP(M39,Materialen!$A$2:$I$39,9,0)),0),2)</f>
        <v/>
      </c>
      <c r="Q39" s="5">
        <f>IF(G39="",0,IF(IFERROR(VLOOKUP(G39,Materialen!$A$2:$I$39,5,0),"N")="J",ROUND(N(H39)*(1+N(O39))*Instellingen!$B$8,2),0))</f>
        <v/>
      </c>
      <c r="R39" s="18" t="n"/>
      <c r="S39" s="5">
        <f>ROUND(N(R39)/60*Instellingen!$B$9,2)</f>
        <v/>
      </c>
      <c r="T39" s="14" t="n"/>
      <c r="U39" s="5">
        <f>P39+Q39+S39+N(T39)</f>
        <v/>
      </c>
      <c r="V39" s="5">
        <f>IF(AC39&lt;&gt;"OK","",F39-U39)</f>
        <v/>
      </c>
      <c r="W39" s="6">
        <f>IF(OR(F39=0,AC39&lt;&gt;"OK"),"",V39/F39)</f>
        <v/>
      </c>
      <c r="X39" s="5">
        <f>IF(N(H39)&gt;0,F39/H39,"")</f>
        <v/>
      </c>
      <c r="Y39" s="5">
        <f>IF(N(H39)&gt;0,IFERROR(IF(VLOOKUP(G39,Materialen!$A$2:$I$39,9,0)="",0,VLOOKUP(G39,Materialen!$A$2:$I$39,9,0)),0),"")</f>
        <v/>
      </c>
      <c r="Z39" s="5">
        <f>ROUND(E39*F39,2)</f>
        <v/>
      </c>
      <c r="AA39" s="5">
        <f>IF(AC39&lt;&gt;"OK","",ROUND(E39*U39,2))</f>
        <v/>
      </c>
      <c r="AB39" s="5">
        <f>IF(AC39&lt;&gt;"OK","",Z39-AA39)</f>
        <v/>
      </c>
      <c r="AC39" s="7">
        <f>IF((IF(G39="",0,IF(IFERROR(IF(VLOOKUP(G39,Materialen!$A$2:$I$39,9,0)="",0,VLOOKUP(G39,Materialen!$A$2:$I$39,9,0)),0)=0,1,0))+IF(I39="",0,IF(IFERROR(IF(VLOOKUP(I39,Materialen!$A$2:$I$39,9,0)="",0,VLOOKUP(I39,Materialen!$A$2:$I$39,9,0)),0)=0,1,0))+IF(K39="",0,IF(IFERROR(IF(VLOOKUP(K39,Materialen!$A$2:$I$39,9,0)="",0,VLOOKUP(K39,Materialen!$A$2:$I$39,9,0)),0)=0,1,0))+IF(M39="",0,IF(IFERROR(IF(VLOOKUP(M39,Materialen!$A$2:$I$39,9,0)="",0,VLOOKUP(M39,Materialen!$A$2:$I$39,9,0)),0)=0,1,0)))&gt;0,"aankoopprijs ontbreekt",IF(AND(G39="",K39="",N(T39)=0,N(R39)=0),"kost invullen (arbeid/overig)","OK"))</f>
        <v/>
      </c>
      <c r="AD39" s="7" t="inlineStr">
        <is>
          <t>10 x A5</t>
        </is>
      </c>
    </row>
    <row r="40">
      <c r="A40" s="7" t="n">
        <v>39</v>
      </c>
      <c r="B40" s="7" t="inlineStr">
        <is>
          <t>Impression sur panneau FOREX de 5mm</t>
        </is>
      </c>
      <c r="C40" s="7" t="inlineStr">
        <is>
          <t>10 cartels</t>
        </is>
      </c>
      <c r="D40" s="7" t="inlineStr">
        <is>
          <t>10 cartels</t>
        </is>
      </c>
      <c r="E40" s="7" t="n">
        <v>5</v>
      </c>
      <c r="F40" s="5" t="n">
        <v>48</v>
      </c>
      <c r="G40" s="7" t="inlineStr">
        <is>
          <t>M33</t>
        </is>
      </c>
      <c r="H40" s="20" t="n">
        <v>0.3108</v>
      </c>
      <c r="I40" s="7" t="n"/>
      <c r="J40" s="20" t="n"/>
      <c r="K40" s="7" t="n"/>
      <c r="L40" s="7" t="n"/>
      <c r="M40" s="7" t="n"/>
      <c r="N40" s="7" t="n"/>
      <c r="O40" s="6">
        <f>IF(G40="","",IF(IFERROR(VLOOKUP(G40,Materialen!$A$2:$I$39,4,0),"")="plaat",Instellingen!$B$4,Instellingen!$B$3))</f>
        <v/>
      </c>
      <c r="P40" s="5">
        <f>ROUND(N(H40)*IFERROR(IF(VLOOKUP(G40,Materialen!$A$2:$I$39,9,0)="",0,VLOOKUP(G40,Materialen!$A$2:$I$39,9,0)),0)*(1+N(O40))+N(J40)*IFERROR(IF(VLOOKUP(I40,Materialen!$A$2:$I$39,9,0)="",0,VLOOKUP(I40,Materialen!$A$2:$I$39,9,0)),0)*(1+N(O40))+N(L40)*IFERROR(IF(VLOOKUP(K40,Materialen!$A$2:$I$39,9,0)="",0,VLOOKUP(K40,Materialen!$A$2:$I$39,9,0)),0)+N(N40)*IFERROR(IF(VLOOKUP(M40,Materialen!$A$2:$I$39,9,0)="",0,VLOOKUP(M40,Materialen!$A$2:$I$39,9,0)),0),2)</f>
        <v/>
      </c>
      <c r="Q40" s="5">
        <f>IF(G40="",0,IF(IFERROR(VLOOKUP(G40,Materialen!$A$2:$I$39,5,0),"N")="J",ROUND(N(H40)*(1+N(O40))*Instellingen!$B$8,2),0))</f>
        <v/>
      </c>
      <c r="R40" s="18" t="n"/>
      <c r="S40" s="5">
        <f>ROUND(N(R40)/60*Instellingen!$B$9,2)</f>
        <v/>
      </c>
      <c r="T40" s="14" t="n"/>
      <c r="U40" s="5">
        <f>P40+Q40+S40+N(T40)</f>
        <v/>
      </c>
      <c r="V40" s="5">
        <f>IF(AC40&lt;&gt;"OK","",F40-U40)</f>
        <v/>
      </c>
      <c r="W40" s="6">
        <f>IF(OR(F40=0,AC40&lt;&gt;"OK"),"",V40/F40)</f>
        <v/>
      </c>
      <c r="X40" s="5">
        <f>IF(N(H40)&gt;0,F40/H40,"")</f>
        <v/>
      </c>
      <c r="Y40" s="5">
        <f>IF(N(H40)&gt;0,IFERROR(IF(VLOOKUP(G40,Materialen!$A$2:$I$39,9,0)="",0,VLOOKUP(G40,Materialen!$A$2:$I$39,9,0)),0),"")</f>
        <v/>
      </c>
      <c r="Z40" s="5">
        <f>ROUND(E40*F40,2)</f>
        <v/>
      </c>
      <c r="AA40" s="5">
        <f>IF(AC40&lt;&gt;"OK","",ROUND(E40*U40,2))</f>
        <v/>
      </c>
      <c r="AB40" s="5">
        <f>IF(AC40&lt;&gt;"OK","",Z40-AA40)</f>
        <v/>
      </c>
      <c r="AC40" s="7">
        <f>IF((IF(G40="",0,IF(IFERROR(IF(VLOOKUP(G40,Materialen!$A$2:$I$39,9,0)="",0,VLOOKUP(G40,Materialen!$A$2:$I$39,9,0)),0)=0,1,0))+IF(I40="",0,IF(IFERROR(IF(VLOOKUP(I40,Materialen!$A$2:$I$39,9,0)="",0,VLOOKUP(I40,Materialen!$A$2:$I$39,9,0)),0)=0,1,0))+IF(K40="",0,IF(IFERROR(IF(VLOOKUP(K40,Materialen!$A$2:$I$39,9,0)="",0,VLOOKUP(K40,Materialen!$A$2:$I$39,9,0)),0)=0,1,0))+IF(M40="",0,IF(IFERROR(IF(VLOOKUP(M40,Materialen!$A$2:$I$39,9,0)="",0,VLOOKUP(M40,Materialen!$A$2:$I$39,9,0)),0)=0,1,0)))&gt;0,"aankoopprijs ontbreekt",IF(AND(G40="",K40="",N(T40)=0,N(R40)=0),"kost invullen (arbeid/overig)","OK"))</f>
        <v/>
      </c>
      <c r="AD40" s="7" t="inlineStr">
        <is>
          <t>10 x A5</t>
        </is>
      </c>
    </row>
    <row r="41">
      <c r="A41" s="7" t="n">
        <v>40</v>
      </c>
      <c r="B41" s="7" t="inlineStr">
        <is>
          <t>Impression sur panneau FOREX de 5mm</t>
        </is>
      </c>
      <c r="C41" s="7" t="inlineStr">
        <is>
          <t>25 cartels</t>
        </is>
      </c>
      <c r="D41" s="7" t="inlineStr">
        <is>
          <t>25 cartels</t>
        </is>
      </c>
      <c r="E41" s="7" t="n">
        <v>5</v>
      </c>
      <c r="F41" s="5" t="n">
        <v>95</v>
      </c>
      <c r="G41" s="7" t="inlineStr">
        <is>
          <t>M33</t>
        </is>
      </c>
      <c r="H41" s="20" t="n">
        <v>0.777</v>
      </c>
      <c r="I41" s="7" t="n"/>
      <c r="J41" s="20" t="n"/>
      <c r="K41" s="7" t="n"/>
      <c r="L41" s="7" t="n"/>
      <c r="M41" s="7" t="n"/>
      <c r="N41" s="7" t="n"/>
      <c r="O41" s="6">
        <f>IF(G41="","",IF(IFERROR(VLOOKUP(G41,Materialen!$A$2:$I$39,4,0),"")="plaat",Instellingen!$B$4,Instellingen!$B$3))</f>
        <v/>
      </c>
      <c r="P41" s="5">
        <f>ROUND(N(H41)*IFERROR(IF(VLOOKUP(G41,Materialen!$A$2:$I$39,9,0)="",0,VLOOKUP(G41,Materialen!$A$2:$I$39,9,0)),0)*(1+N(O41))+N(J41)*IFERROR(IF(VLOOKUP(I41,Materialen!$A$2:$I$39,9,0)="",0,VLOOKUP(I41,Materialen!$A$2:$I$39,9,0)),0)*(1+N(O41))+N(L41)*IFERROR(IF(VLOOKUP(K41,Materialen!$A$2:$I$39,9,0)="",0,VLOOKUP(K41,Materialen!$A$2:$I$39,9,0)),0)+N(N41)*IFERROR(IF(VLOOKUP(M41,Materialen!$A$2:$I$39,9,0)="",0,VLOOKUP(M41,Materialen!$A$2:$I$39,9,0)),0),2)</f>
        <v/>
      </c>
      <c r="Q41" s="5">
        <f>IF(G41="",0,IF(IFERROR(VLOOKUP(G41,Materialen!$A$2:$I$39,5,0),"N")="J",ROUND(N(H41)*(1+N(O41))*Instellingen!$B$8,2),0))</f>
        <v/>
      </c>
      <c r="R41" s="18" t="n"/>
      <c r="S41" s="5">
        <f>ROUND(N(R41)/60*Instellingen!$B$9,2)</f>
        <v/>
      </c>
      <c r="T41" s="14" t="n"/>
      <c r="U41" s="5">
        <f>P41+Q41+S41+N(T41)</f>
        <v/>
      </c>
      <c r="V41" s="5">
        <f>IF(AC41&lt;&gt;"OK","",F41-U41)</f>
        <v/>
      </c>
      <c r="W41" s="6">
        <f>IF(OR(F41=0,AC41&lt;&gt;"OK"),"",V41/F41)</f>
        <v/>
      </c>
      <c r="X41" s="5">
        <f>IF(N(H41)&gt;0,F41/H41,"")</f>
        <v/>
      </c>
      <c r="Y41" s="5">
        <f>IF(N(H41)&gt;0,IFERROR(IF(VLOOKUP(G41,Materialen!$A$2:$I$39,9,0)="",0,VLOOKUP(G41,Materialen!$A$2:$I$39,9,0)),0),"")</f>
        <v/>
      </c>
      <c r="Z41" s="5">
        <f>ROUND(E41*F41,2)</f>
        <v/>
      </c>
      <c r="AA41" s="5">
        <f>IF(AC41&lt;&gt;"OK","",ROUND(E41*U41,2))</f>
        <v/>
      </c>
      <c r="AB41" s="5">
        <f>IF(AC41&lt;&gt;"OK","",Z41-AA41)</f>
        <v/>
      </c>
      <c r="AC41" s="7">
        <f>IF((IF(G41="",0,IF(IFERROR(IF(VLOOKUP(G41,Materialen!$A$2:$I$39,9,0)="",0,VLOOKUP(G41,Materialen!$A$2:$I$39,9,0)),0)=0,1,0))+IF(I41="",0,IF(IFERROR(IF(VLOOKUP(I41,Materialen!$A$2:$I$39,9,0)="",0,VLOOKUP(I41,Materialen!$A$2:$I$39,9,0)),0)=0,1,0))+IF(K41="",0,IF(IFERROR(IF(VLOOKUP(K41,Materialen!$A$2:$I$39,9,0)="",0,VLOOKUP(K41,Materialen!$A$2:$I$39,9,0)),0)=0,1,0))+IF(M41="",0,IF(IFERROR(IF(VLOOKUP(M41,Materialen!$A$2:$I$39,9,0)="",0,VLOOKUP(M41,Materialen!$A$2:$I$39,9,0)),0)=0,1,0)))&gt;0,"aankoopprijs ontbreekt",IF(AND(G41="",K41="",N(T41)=0,N(R41)=0),"kost invullen (arbeid/overig)","OK"))</f>
        <v/>
      </c>
      <c r="AD41" s="7" t="inlineStr">
        <is>
          <t>25 x A5</t>
        </is>
      </c>
    </row>
    <row r="42">
      <c r="A42" s="7" t="n">
        <v>41</v>
      </c>
      <c r="B42" s="7" t="inlineStr">
        <is>
          <t>Impression sur panneau FOREX de 5mm</t>
        </is>
      </c>
      <c r="C42" s="7" t="inlineStr">
        <is>
          <t>50 cartels</t>
        </is>
      </c>
      <c r="D42" s="7" t="inlineStr">
        <is>
          <t>50 cartels</t>
        </is>
      </c>
      <c r="E42" s="7" t="n">
        <v>5</v>
      </c>
      <c r="F42" s="5" t="n">
        <v>165</v>
      </c>
      <c r="G42" s="7" t="inlineStr">
        <is>
          <t>M33</t>
        </is>
      </c>
      <c r="H42" s="20" t="n">
        <v>1.554</v>
      </c>
      <c r="I42" s="7" t="n"/>
      <c r="J42" s="20" t="n"/>
      <c r="K42" s="7" t="n"/>
      <c r="L42" s="7" t="n"/>
      <c r="M42" s="7" t="n"/>
      <c r="N42" s="7" t="n"/>
      <c r="O42" s="6">
        <f>IF(G42="","",IF(IFERROR(VLOOKUP(G42,Materialen!$A$2:$I$39,4,0),"")="plaat",Instellingen!$B$4,Instellingen!$B$3))</f>
        <v/>
      </c>
      <c r="P42" s="5">
        <f>ROUND(N(H42)*IFERROR(IF(VLOOKUP(G42,Materialen!$A$2:$I$39,9,0)="",0,VLOOKUP(G42,Materialen!$A$2:$I$39,9,0)),0)*(1+N(O42))+N(J42)*IFERROR(IF(VLOOKUP(I42,Materialen!$A$2:$I$39,9,0)="",0,VLOOKUP(I42,Materialen!$A$2:$I$39,9,0)),0)*(1+N(O42))+N(L42)*IFERROR(IF(VLOOKUP(K42,Materialen!$A$2:$I$39,9,0)="",0,VLOOKUP(K42,Materialen!$A$2:$I$39,9,0)),0)+N(N42)*IFERROR(IF(VLOOKUP(M42,Materialen!$A$2:$I$39,9,0)="",0,VLOOKUP(M42,Materialen!$A$2:$I$39,9,0)),0),2)</f>
        <v/>
      </c>
      <c r="Q42" s="5">
        <f>IF(G42="",0,IF(IFERROR(VLOOKUP(G42,Materialen!$A$2:$I$39,5,0),"N")="J",ROUND(N(H42)*(1+N(O42))*Instellingen!$B$8,2),0))</f>
        <v/>
      </c>
      <c r="R42" s="18" t="n"/>
      <c r="S42" s="5">
        <f>ROUND(N(R42)/60*Instellingen!$B$9,2)</f>
        <v/>
      </c>
      <c r="T42" s="14" t="n"/>
      <c r="U42" s="5">
        <f>P42+Q42+S42+N(T42)</f>
        <v/>
      </c>
      <c r="V42" s="5">
        <f>IF(AC42&lt;&gt;"OK","",F42-U42)</f>
        <v/>
      </c>
      <c r="W42" s="6">
        <f>IF(OR(F42=0,AC42&lt;&gt;"OK"),"",V42/F42)</f>
        <v/>
      </c>
      <c r="X42" s="5">
        <f>IF(N(H42)&gt;0,F42/H42,"")</f>
        <v/>
      </c>
      <c r="Y42" s="5">
        <f>IF(N(H42)&gt;0,IFERROR(IF(VLOOKUP(G42,Materialen!$A$2:$I$39,9,0)="",0,VLOOKUP(G42,Materialen!$A$2:$I$39,9,0)),0),"")</f>
        <v/>
      </c>
      <c r="Z42" s="5">
        <f>ROUND(E42*F42,2)</f>
        <v/>
      </c>
      <c r="AA42" s="5">
        <f>IF(AC42&lt;&gt;"OK","",ROUND(E42*U42,2))</f>
        <v/>
      </c>
      <c r="AB42" s="5">
        <f>IF(AC42&lt;&gt;"OK","",Z42-AA42)</f>
        <v/>
      </c>
      <c r="AC42" s="7">
        <f>IF((IF(G42="",0,IF(IFERROR(IF(VLOOKUP(G42,Materialen!$A$2:$I$39,9,0)="",0,VLOOKUP(G42,Materialen!$A$2:$I$39,9,0)),0)=0,1,0))+IF(I42="",0,IF(IFERROR(IF(VLOOKUP(I42,Materialen!$A$2:$I$39,9,0)="",0,VLOOKUP(I42,Materialen!$A$2:$I$39,9,0)),0)=0,1,0))+IF(K42="",0,IF(IFERROR(IF(VLOOKUP(K42,Materialen!$A$2:$I$39,9,0)="",0,VLOOKUP(K42,Materialen!$A$2:$I$39,9,0)),0)=0,1,0))+IF(M42="",0,IF(IFERROR(IF(VLOOKUP(M42,Materialen!$A$2:$I$39,9,0)="",0,VLOOKUP(M42,Materialen!$A$2:$I$39,9,0)),0)=0,1,0)))&gt;0,"aankoopprijs ontbreekt",IF(AND(G42="",K42="",N(T42)=0,N(R42)=0),"kost invullen (arbeid/overig)","OK"))</f>
        <v/>
      </c>
      <c r="AD42" s="7" t="inlineStr">
        <is>
          <t>50 x A5</t>
        </is>
      </c>
    </row>
    <row r="43">
      <c r="A43" s="7" t="n">
        <v>42</v>
      </c>
      <c r="B43" s="7" t="inlineStr">
        <is>
          <t>Impression sur panneau FOREX de 5mm</t>
        </is>
      </c>
      <c r="C43" s="7" t="inlineStr">
        <is>
          <t>100 cartels</t>
        </is>
      </c>
      <c r="D43" s="7" t="inlineStr">
        <is>
          <t>100 cartels</t>
        </is>
      </c>
      <c r="E43" s="7" t="n">
        <v>5</v>
      </c>
      <c r="F43" s="5" t="n">
        <v>290</v>
      </c>
      <c r="G43" s="7" t="inlineStr">
        <is>
          <t>M33</t>
        </is>
      </c>
      <c r="H43" s="20" t="n">
        <v>3.108</v>
      </c>
      <c r="I43" s="7" t="n"/>
      <c r="J43" s="20" t="n"/>
      <c r="K43" s="7" t="n"/>
      <c r="L43" s="7" t="n"/>
      <c r="M43" s="7" t="n"/>
      <c r="N43" s="7" t="n"/>
      <c r="O43" s="6">
        <f>IF(G43="","",IF(IFERROR(VLOOKUP(G43,Materialen!$A$2:$I$39,4,0),"")="plaat",Instellingen!$B$4,Instellingen!$B$3))</f>
        <v/>
      </c>
      <c r="P43" s="5">
        <f>ROUND(N(H43)*IFERROR(IF(VLOOKUP(G43,Materialen!$A$2:$I$39,9,0)="",0,VLOOKUP(G43,Materialen!$A$2:$I$39,9,0)),0)*(1+N(O43))+N(J43)*IFERROR(IF(VLOOKUP(I43,Materialen!$A$2:$I$39,9,0)="",0,VLOOKUP(I43,Materialen!$A$2:$I$39,9,0)),0)*(1+N(O43))+N(L43)*IFERROR(IF(VLOOKUP(K43,Materialen!$A$2:$I$39,9,0)="",0,VLOOKUP(K43,Materialen!$A$2:$I$39,9,0)),0)+N(N43)*IFERROR(IF(VLOOKUP(M43,Materialen!$A$2:$I$39,9,0)="",0,VLOOKUP(M43,Materialen!$A$2:$I$39,9,0)),0),2)</f>
        <v/>
      </c>
      <c r="Q43" s="5">
        <f>IF(G43="",0,IF(IFERROR(VLOOKUP(G43,Materialen!$A$2:$I$39,5,0),"N")="J",ROUND(N(H43)*(1+N(O43))*Instellingen!$B$8,2),0))</f>
        <v/>
      </c>
      <c r="R43" s="18" t="n"/>
      <c r="S43" s="5">
        <f>ROUND(N(R43)/60*Instellingen!$B$9,2)</f>
        <v/>
      </c>
      <c r="T43" s="14" t="n"/>
      <c r="U43" s="5">
        <f>P43+Q43+S43+N(T43)</f>
        <v/>
      </c>
      <c r="V43" s="5">
        <f>IF(AC43&lt;&gt;"OK","",F43-U43)</f>
        <v/>
      </c>
      <c r="W43" s="6">
        <f>IF(OR(F43=0,AC43&lt;&gt;"OK"),"",V43/F43)</f>
        <v/>
      </c>
      <c r="X43" s="5">
        <f>IF(N(H43)&gt;0,F43/H43,"")</f>
        <v/>
      </c>
      <c r="Y43" s="5">
        <f>IF(N(H43)&gt;0,IFERROR(IF(VLOOKUP(G43,Materialen!$A$2:$I$39,9,0)="",0,VLOOKUP(G43,Materialen!$A$2:$I$39,9,0)),0),"")</f>
        <v/>
      </c>
      <c r="Z43" s="5">
        <f>ROUND(E43*F43,2)</f>
        <v/>
      </c>
      <c r="AA43" s="5">
        <f>IF(AC43&lt;&gt;"OK","",ROUND(E43*U43,2))</f>
        <v/>
      </c>
      <c r="AB43" s="5">
        <f>IF(AC43&lt;&gt;"OK","",Z43-AA43)</f>
        <v/>
      </c>
      <c r="AC43" s="7">
        <f>IF((IF(G43="",0,IF(IFERROR(IF(VLOOKUP(G43,Materialen!$A$2:$I$39,9,0)="",0,VLOOKUP(G43,Materialen!$A$2:$I$39,9,0)),0)=0,1,0))+IF(I43="",0,IF(IFERROR(IF(VLOOKUP(I43,Materialen!$A$2:$I$39,9,0)="",0,VLOOKUP(I43,Materialen!$A$2:$I$39,9,0)),0)=0,1,0))+IF(K43="",0,IF(IFERROR(IF(VLOOKUP(K43,Materialen!$A$2:$I$39,9,0)="",0,VLOOKUP(K43,Materialen!$A$2:$I$39,9,0)),0)=0,1,0))+IF(M43="",0,IF(IFERROR(IF(VLOOKUP(M43,Materialen!$A$2:$I$39,9,0)="",0,VLOOKUP(M43,Materialen!$A$2:$I$39,9,0)),0)=0,1,0)))&gt;0,"aankoopprijs ontbreekt",IF(AND(G43="",K43="",N(T43)=0,N(R43)=0),"kost invullen (arbeid/overig)","OK"))</f>
        <v/>
      </c>
      <c r="AD43" s="7" t="inlineStr">
        <is>
          <t>100 x A5</t>
        </is>
      </c>
    </row>
    <row r="44">
      <c r="A44" s="7" t="n">
        <v>43</v>
      </c>
      <c r="B44" s="7" t="inlineStr">
        <is>
          <t>Impression sur panneau FOREX de 5mm</t>
        </is>
      </c>
      <c r="C44" s="7" t="inlineStr">
        <is>
          <t>150 cartels</t>
        </is>
      </c>
      <c r="D44" s="7" t="inlineStr">
        <is>
          <t>150 cartels</t>
        </is>
      </c>
      <c r="E44" s="7" t="n">
        <v>5</v>
      </c>
      <c r="F44" s="5" t="n">
        <v>400</v>
      </c>
      <c r="G44" s="7" t="inlineStr">
        <is>
          <t>M33</t>
        </is>
      </c>
      <c r="H44" s="20" t="n">
        <v>4.662</v>
      </c>
      <c r="I44" s="7" t="n"/>
      <c r="J44" s="20" t="n"/>
      <c r="K44" s="7" t="n"/>
      <c r="L44" s="7" t="n"/>
      <c r="M44" s="7" t="n"/>
      <c r="N44" s="7" t="n"/>
      <c r="O44" s="6">
        <f>IF(G44="","",IF(IFERROR(VLOOKUP(G44,Materialen!$A$2:$I$39,4,0),"")="plaat",Instellingen!$B$4,Instellingen!$B$3))</f>
        <v/>
      </c>
      <c r="P44" s="5">
        <f>ROUND(N(H44)*IFERROR(IF(VLOOKUP(G44,Materialen!$A$2:$I$39,9,0)="",0,VLOOKUP(G44,Materialen!$A$2:$I$39,9,0)),0)*(1+N(O44))+N(J44)*IFERROR(IF(VLOOKUP(I44,Materialen!$A$2:$I$39,9,0)="",0,VLOOKUP(I44,Materialen!$A$2:$I$39,9,0)),0)*(1+N(O44))+N(L44)*IFERROR(IF(VLOOKUP(K44,Materialen!$A$2:$I$39,9,0)="",0,VLOOKUP(K44,Materialen!$A$2:$I$39,9,0)),0)+N(N44)*IFERROR(IF(VLOOKUP(M44,Materialen!$A$2:$I$39,9,0)="",0,VLOOKUP(M44,Materialen!$A$2:$I$39,9,0)),0),2)</f>
        <v/>
      </c>
      <c r="Q44" s="5">
        <f>IF(G44="",0,IF(IFERROR(VLOOKUP(G44,Materialen!$A$2:$I$39,5,0),"N")="J",ROUND(N(H44)*(1+N(O44))*Instellingen!$B$8,2),0))</f>
        <v/>
      </c>
      <c r="R44" s="18" t="n"/>
      <c r="S44" s="5">
        <f>ROUND(N(R44)/60*Instellingen!$B$9,2)</f>
        <v/>
      </c>
      <c r="T44" s="14" t="n"/>
      <c r="U44" s="5">
        <f>P44+Q44+S44+N(T44)</f>
        <v/>
      </c>
      <c r="V44" s="5">
        <f>IF(AC44&lt;&gt;"OK","",F44-U44)</f>
        <v/>
      </c>
      <c r="W44" s="6">
        <f>IF(OR(F44=0,AC44&lt;&gt;"OK"),"",V44/F44)</f>
        <v/>
      </c>
      <c r="X44" s="5">
        <f>IF(N(H44)&gt;0,F44/H44,"")</f>
        <v/>
      </c>
      <c r="Y44" s="5">
        <f>IF(N(H44)&gt;0,IFERROR(IF(VLOOKUP(G44,Materialen!$A$2:$I$39,9,0)="",0,VLOOKUP(G44,Materialen!$A$2:$I$39,9,0)),0),"")</f>
        <v/>
      </c>
      <c r="Z44" s="5">
        <f>ROUND(E44*F44,2)</f>
        <v/>
      </c>
      <c r="AA44" s="5">
        <f>IF(AC44&lt;&gt;"OK","",ROUND(E44*U44,2))</f>
        <v/>
      </c>
      <c r="AB44" s="5">
        <f>IF(AC44&lt;&gt;"OK","",Z44-AA44)</f>
        <v/>
      </c>
      <c r="AC44" s="7">
        <f>IF((IF(G44="",0,IF(IFERROR(IF(VLOOKUP(G44,Materialen!$A$2:$I$39,9,0)="",0,VLOOKUP(G44,Materialen!$A$2:$I$39,9,0)),0)=0,1,0))+IF(I44="",0,IF(IFERROR(IF(VLOOKUP(I44,Materialen!$A$2:$I$39,9,0)="",0,VLOOKUP(I44,Materialen!$A$2:$I$39,9,0)),0)=0,1,0))+IF(K44="",0,IF(IFERROR(IF(VLOOKUP(K44,Materialen!$A$2:$I$39,9,0)="",0,VLOOKUP(K44,Materialen!$A$2:$I$39,9,0)),0)=0,1,0))+IF(M44="",0,IF(IFERROR(IF(VLOOKUP(M44,Materialen!$A$2:$I$39,9,0)="",0,VLOOKUP(M44,Materialen!$A$2:$I$39,9,0)),0)=0,1,0)))&gt;0,"aankoopprijs ontbreekt",IF(AND(G44="",K44="",N(T44)=0,N(R44)=0),"kost invullen (arbeid/overig)","OK"))</f>
        <v/>
      </c>
      <c r="AD44" s="7" t="inlineStr">
        <is>
          <t>150 x A5</t>
        </is>
      </c>
    </row>
    <row r="45">
      <c r="A45" s="7" t="n">
        <v>44</v>
      </c>
      <c r="B45" s="7" t="inlineStr">
        <is>
          <t>Impression sur panneau FOREX de 5mm</t>
        </is>
      </c>
      <c r="C45" s="7" t="inlineStr">
        <is>
          <t>200 cartels</t>
        </is>
      </c>
      <c r="D45" s="7" t="inlineStr">
        <is>
          <t>200 cartels</t>
        </is>
      </c>
      <c r="E45" s="7" t="n">
        <v>5</v>
      </c>
      <c r="F45" s="5" t="n">
        <v>500</v>
      </c>
      <c r="G45" s="7" t="inlineStr">
        <is>
          <t>M33</t>
        </is>
      </c>
      <c r="H45" s="20" t="n">
        <v>6.216</v>
      </c>
      <c r="I45" s="7" t="n"/>
      <c r="J45" s="20" t="n"/>
      <c r="K45" s="7" t="n"/>
      <c r="L45" s="7" t="n"/>
      <c r="M45" s="7" t="n"/>
      <c r="N45" s="7" t="n"/>
      <c r="O45" s="6">
        <f>IF(G45="","",IF(IFERROR(VLOOKUP(G45,Materialen!$A$2:$I$39,4,0),"")="plaat",Instellingen!$B$4,Instellingen!$B$3))</f>
        <v/>
      </c>
      <c r="P45" s="5">
        <f>ROUND(N(H45)*IFERROR(IF(VLOOKUP(G45,Materialen!$A$2:$I$39,9,0)="",0,VLOOKUP(G45,Materialen!$A$2:$I$39,9,0)),0)*(1+N(O45))+N(J45)*IFERROR(IF(VLOOKUP(I45,Materialen!$A$2:$I$39,9,0)="",0,VLOOKUP(I45,Materialen!$A$2:$I$39,9,0)),0)*(1+N(O45))+N(L45)*IFERROR(IF(VLOOKUP(K45,Materialen!$A$2:$I$39,9,0)="",0,VLOOKUP(K45,Materialen!$A$2:$I$39,9,0)),0)+N(N45)*IFERROR(IF(VLOOKUP(M45,Materialen!$A$2:$I$39,9,0)="",0,VLOOKUP(M45,Materialen!$A$2:$I$39,9,0)),0),2)</f>
        <v/>
      </c>
      <c r="Q45" s="5">
        <f>IF(G45="",0,IF(IFERROR(VLOOKUP(G45,Materialen!$A$2:$I$39,5,0),"N")="J",ROUND(N(H45)*(1+N(O45))*Instellingen!$B$8,2),0))</f>
        <v/>
      </c>
      <c r="R45" s="18" t="n"/>
      <c r="S45" s="5">
        <f>ROUND(N(R45)/60*Instellingen!$B$9,2)</f>
        <v/>
      </c>
      <c r="T45" s="14" t="n"/>
      <c r="U45" s="5">
        <f>P45+Q45+S45+N(T45)</f>
        <v/>
      </c>
      <c r="V45" s="5">
        <f>IF(AC45&lt;&gt;"OK","",F45-U45)</f>
        <v/>
      </c>
      <c r="W45" s="6">
        <f>IF(OR(F45=0,AC45&lt;&gt;"OK"),"",V45/F45)</f>
        <v/>
      </c>
      <c r="X45" s="5">
        <f>IF(N(H45)&gt;0,F45/H45,"")</f>
        <v/>
      </c>
      <c r="Y45" s="5">
        <f>IF(N(H45)&gt;0,IFERROR(IF(VLOOKUP(G45,Materialen!$A$2:$I$39,9,0)="",0,VLOOKUP(G45,Materialen!$A$2:$I$39,9,0)),0),"")</f>
        <v/>
      </c>
      <c r="Z45" s="5">
        <f>ROUND(E45*F45,2)</f>
        <v/>
      </c>
      <c r="AA45" s="5">
        <f>IF(AC45&lt;&gt;"OK","",ROUND(E45*U45,2))</f>
        <v/>
      </c>
      <c r="AB45" s="5">
        <f>IF(AC45&lt;&gt;"OK","",Z45-AA45)</f>
        <v/>
      </c>
      <c r="AC45" s="7">
        <f>IF((IF(G45="",0,IF(IFERROR(IF(VLOOKUP(G45,Materialen!$A$2:$I$39,9,0)="",0,VLOOKUP(G45,Materialen!$A$2:$I$39,9,0)),0)=0,1,0))+IF(I45="",0,IF(IFERROR(IF(VLOOKUP(I45,Materialen!$A$2:$I$39,9,0)="",0,VLOOKUP(I45,Materialen!$A$2:$I$39,9,0)),0)=0,1,0))+IF(K45="",0,IF(IFERROR(IF(VLOOKUP(K45,Materialen!$A$2:$I$39,9,0)="",0,VLOOKUP(K45,Materialen!$A$2:$I$39,9,0)),0)=0,1,0))+IF(M45="",0,IF(IFERROR(IF(VLOOKUP(M45,Materialen!$A$2:$I$39,9,0)="",0,VLOOKUP(M45,Materialen!$A$2:$I$39,9,0)),0)=0,1,0)))&gt;0,"aankoopprijs ontbreekt",IF(AND(G45="",K45="",N(T45)=0,N(R45)=0),"kost invullen (arbeid/overig)","OK"))</f>
        <v/>
      </c>
      <c r="AD45" s="7" t="inlineStr">
        <is>
          <t>200 x A5</t>
        </is>
      </c>
    </row>
    <row r="46">
      <c r="A46" s="7" t="n">
        <v>45</v>
      </c>
      <c r="B46" s="7" t="inlineStr">
        <is>
          <t>Impression sur panneau FOREX de 5mm</t>
        </is>
      </c>
      <c r="C46" s="7" t="inlineStr">
        <is>
          <t>10 quantités supplémentaires</t>
        </is>
      </c>
      <c r="D46" s="7" t="inlineStr">
        <is>
          <t>10 quantités supplémentaires</t>
        </is>
      </c>
      <c r="E46" s="7" t="n">
        <v>5</v>
      </c>
      <c r="F46" s="5" t="n">
        <v>21</v>
      </c>
      <c r="G46" s="7" t="inlineStr">
        <is>
          <t>M33</t>
        </is>
      </c>
      <c r="H46" s="20" t="n">
        <v>0.3108</v>
      </c>
      <c r="I46" s="7" t="n"/>
      <c r="J46" s="20" t="n"/>
      <c r="K46" s="7" t="n"/>
      <c r="L46" s="7" t="n"/>
      <c r="M46" s="7" t="n"/>
      <c r="N46" s="7" t="n"/>
      <c r="O46" s="6">
        <f>IF(G46="","",IF(IFERROR(VLOOKUP(G46,Materialen!$A$2:$I$39,4,0),"")="plaat",Instellingen!$B$4,Instellingen!$B$3))</f>
        <v/>
      </c>
      <c r="P46" s="5">
        <f>ROUND(N(H46)*IFERROR(IF(VLOOKUP(G46,Materialen!$A$2:$I$39,9,0)="",0,VLOOKUP(G46,Materialen!$A$2:$I$39,9,0)),0)*(1+N(O46))+N(J46)*IFERROR(IF(VLOOKUP(I46,Materialen!$A$2:$I$39,9,0)="",0,VLOOKUP(I46,Materialen!$A$2:$I$39,9,0)),0)*(1+N(O46))+N(L46)*IFERROR(IF(VLOOKUP(K46,Materialen!$A$2:$I$39,9,0)="",0,VLOOKUP(K46,Materialen!$A$2:$I$39,9,0)),0)+N(N46)*IFERROR(IF(VLOOKUP(M46,Materialen!$A$2:$I$39,9,0)="",0,VLOOKUP(M46,Materialen!$A$2:$I$39,9,0)),0),2)</f>
        <v/>
      </c>
      <c r="Q46" s="5">
        <f>IF(G46="",0,IF(IFERROR(VLOOKUP(G46,Materialen!$A$2:$I$39,5,0),"N")="J",ROUND(N(H46)*(1+N(O46))*Instellingen!$B$8,2),0))</f>
        <v/>
      </c>
      <c r="R46" s="18" t="n"/>
      <c r="S46" s="5">
        <f>ROUND(N(R46)/60*Instellingen!$B$9,2)</f>
        <v/>
      </c>
      <c r="T46" s="14" t="n"/>
      <c r="U46" s="5">
        <f>P46+Q46+S46+N(T46)</f>
        <v/>
      </c>
      <c r="V46" s="5">
        <f>IF(AC46&lt;&gt;"OK","",F46-U46)</f>
        <v/>
      </c>
      <c r="W46" s="6">
        <f>IF(OR(F46=0,AC46&lt;&gt;"OK"),"",V46/F46)</f>
        <v/>
      </c>
      <c r="X46" s="5">
        <f>IF(N(H46)&gt;0,F46/H46,"")</f>
        <v/>
      </c>
      <c r="Y46" s="5">
        <f>IF(N(H46)&gt;0,IFERROR(IF(VLOOKUP(G46,Materialen!$A$2:$I$39,9,0)="",0,VLOOKUP(G46,Materialen!$A$2:$I$39,9,0)),0),"")</f>
        <v/>
      </c>
      <c r="Z46" s="5">
        <f>ROUND(E46*F46,2)</f>
        <v/>
      </c>
      <c r="AA46" s="5">
        <f>IF(AC46&lt;&gt;"OK","",ROUND(E46*U46,2))</f>
        <v/>
      </c>
      <c r="AB46" s="5">
        <f>IF(AC46&lt;&gt;"OK","",Z46-AA46)</f>
        <v/>
      </c>
      <c r="AC46" s="7">
        <f>IF((IF(G46="",0,IF(IFERROR(IF(VLOOKUP(G46,Materialen!$A$2:$I$39,9,0)="",0,VLOOKUP(G46,Materialen!$A$2:$I$39,9,0)),0)=0,1,0))+IF(I46="",0,IF(IFERROR(IF(VLOOKUP(I46,Materialen!$A$2:$I$39,9,0)="",0,VLOOKUP(I46,Materialen!$A$2:$I$39,9,0)),0)=0,1,0))+IF(K46="",0,IF(IFERROR(IF(VLOOKUP(K46,Materialen!$A$2:$I$39,9,0)="",0,VLOOKUP(K46,Materialen!$A$2:$I$39,9,0)),0)=0,1,0))+IF(M46="",0,IF(IFERROR(IF(VLOOKUP(M46,Materialen!$A$2:$I$39,9,0)="",0,VLOOKUP(M46,Materialen!$A$2:$I$39,9,0)),0)=0,1,0)))&gt;0,"aankoopprijs ontbreekt",IF(AND(G46="",K46="",N(T46)=0,N(R46)=0),"kost invullen (arbeid/overig)","OK"))</f>
        <v/>
      </c>
      <c r="AD46" s="7" t="inlineStr">
        <is>
          <t>10 x A5</t>
        </is>
      </c>
    </row>
    <row r="47">
      <c r="A47" s="7" t="n">
        <v>46</v>
      </c>
      <c r="B47" s="7" t="inlineStr">
        <is>
          <t>Impression quadrichromie sur PLEXI mat opalin 2mm</t>
        </is>
      </c>
      <c r="C47" s="7" t="inlineStr">
        <is>
          <t>&gt;= A2 et &lt;= 1 m²</t>
        </is>
      </c>
      <c r="D47" s="7" t="inlineStr">
        <is>
          <t>m²</t>
        </is>
      </c>
      <c r="E47" s="7" t="n">
        <v>5</v>
      </c>
      <c r="F47" s="5" t="n">
        <v>140</v>
      </c>
      <c r="G47" s="7" t="inlineStr">
        <is>
          <t>M34</t>
        </is>
      </c>
      <c r="H47" s="20" t="n">
        <v>1</v>
      </c>
      <c r="I47" s="7" t="n"/>
      <c r="J47" s="20" t="n"/>
      <c r="K47" s="7" t="n"/>
      <c r="L47" s="7" t="n"/>
      <c r="M47" s="7" t="n"/>
      <c r="N47" s="7" t="n"/>
      <c r="O47" s="6">
        <f>IF(G47="","",IF(IFERROR(VLOOKUP(G47,Materialen!$A$2:$I$39,4,0),"")="plaat",Instellingen!$B$4,Instellingen!$B$3))</f>
        <v/>
      </c>
      <c r="P47" s="5">
        <f>ROUND(N(H47)*IFERROR(IF(VLOOKUP(G47,Materialen!$A$2:$I$39,9,0)="",0,VLOOKUP(G47,Materialen!$A$2:$I$39,9,0)),0)*(1+N(O47))+N(J47)*IFERROR(IF(VLOOKUP(I47,Materialen!$A$2:$I$39,9,0)="",0,VLOOKUP(I47,Materialen!$A$2:$I$39,9,0)),0)*(1+N(O47))+N(L47)*IFERROR(IF(VLOOKUP(K47,Materialen!$A$2:$I$39,9,0)="",0,VLOOKUP(K47,Materialen!$A$2:$I$39,9,0)),0)+N(N47)*IFERROR(IF(VLOOKUP(M47,Materialen!$A$2:$I$39,9,0)="",0,VLOOKUP(M47,Materialen!$A$2:$I$39,9,0)),0),2)</f>
        <v/>
      </c>
      <c r="Q47" s="5">
        <f>IF(G47="",0,IF(IFERROR(VLOOKUP(G47,Materialen!$A$2:$I$39,5,0),"N")="J",ROUND(N(H47)*(1+N(O47))*Instellingen!$B$8,2),0))</f>
        <v/>
      </c>
      <c r="R47" s="18" t="n"/>
      <c r="S47" s="5">
        <f>ROUND(N(R47)/60*Instellingen!$B$9,2)</f>
        <v/>
      </c>
      <c r="T47" s="14" t="n"/>
      <c r="U47" s="5">
        <f>P47+Q47+S47+N(T47)</f>
        <v/>
      </c>
      <c r="V47" s="5">
        <f>IF(AC47&lt;&gt;"OK","",F47-U47)</f>
        <v/>
      </c>
      <c r="W47" s="6">
        <f>IF(OR(F47=0,AC47&lt;&gt;"OK"),"",V47/F47)</f>
        <v/>
      </c>
      <c r="X47" s="5">
        <f>IF(N(H47)&gt;0,F47/H47,"")</f>
        <v/>
      </c>
      <c r="Y47" s="5">
        <f>IF(N(H47)&gt;0,IFERROR(IF(VLOOKUP(G47,Materialen!$A$2:$I$39,9,0)="",0,VLOOKUP(G47,Materialen!$A$2:$I$39,9,0)),0),"")</f>
        <v/>
      </c>
      <c r="Z47" s="5">
        <f>ROUND(E47*F47,2)</f>
        <v/>
      </c>
      <c r="AA47" s="5">
        <f>IF(AC47&lt;&gt;"OK","",ROUND(E47*U47,2))</f>
        <v/>
      </c>
      <c r="AB47" s="5">
        <f>IF(AC47&lt;&gt;"OK","",Z47-AA47)</f>
        <v/>
      </c>
      <c r="AC47" s="7">
        <f>IF((IF(G47="",0,IF(IFERROR(IF(VLOOKUP(G47,Materialen!$A$2:$I$39,9,0)="",0,VLOOKUP(G47,Materialen!$A$2:$I$39,9,0)),0)=0,1,0))+IF(I47="",0,IF(IFERROR(IF(VLOOKUP(I47,Materialen!$A$2:$I$39,9,0)="",0,VLOOKUP(I47,Materialen!$A$2:$I$39,9,0)),0)=0,1,0))+IF(K47="",0,IF(IFERROR(IF(VLOOKUP(K47,Materialen!$A$2:$I$39,9,0)="",0,VLOOKUP(K47,Materialen!$A$2:$I$39,9,0)),0)=0,1,0))+IF(M47="",0,IF(IFERROR(IF(VLOOKUP(M47,Materialen!$A$2:$I$39,9,0)="",0,VLOOKUP(M47,Materialen!$A$2:$I$39,9,0)),0)=0,1,0)))&gt;0,"aankoopprijs ontbreekt",IF(AND(G47="",K47="",N(T47)=0,N(R47)=0),"kost invullen (arbeid/overig)","OK"))</f>
        <v/>
      </c>
      <c r="AD47" s="7" t="inlineStr"/>
    </row>
    <row r="48">
      <c r="A48" s="7" t="n">
        <v>47</v>
      </c>
      <c r="B48" s="7" t="inlineStr">
        <is>
          <t>Impression quadrichromie sur PLEXI mat opalin 2mm</t>
        </is>
      </c>
      <c r="C48" s="7" t="inlineStr">
        <is>
          <t>&gt; 1 m² et &lt;= 2 m²</t>
        </is>
      </c>
      <c r="D48" s="7" t="inlineStr">
        <is>
          <t>m²</t>
        </is>
      </c>
      <c r="E48" s="7" t="n">
        <v>5</v>
      </c>
      <c r="F48" s="5" t="n">
        <v>125</v>
      </c>
      <c r="G48" s="7" t="inlineStr">
        <is>
          <t>M34</t>
        </is>
      </c>
      <c r="H48" s="20" t="n">
        <v>1</v>
      </c>
      <c r="I48" s="7" t="n"/>
      <c r="J48" s="20" t="n"/>
      <c r="K48" s="7" t="n"/>
      <c r="L48" s="7" t="n"/>
      <c r="M48" s="7" t="n"/>
      <c r="N48" s="7" t="n"/>
      <c r="O48" s="6">
        <f>IF(G48="","",IF(IFERROR(VLOOKUP(G48,Materialen!$A$2:$I$39,4,0),"")="plaat",Instellingen!$B$4,Instellingen!$B$3))</f>
        <v/>
      </c>
      <c r="P48" s="5">
        <f>ROUND(N(H48)*IFERROR(IF(VLOOKUP(G48,Materialen!$A$2:$I$39,9,0)="",0,VLOOKUP(G48,Materialen!$A$2:$I$39,9,0)),0)*(1+N(O48))+N(J48)*IFERROR(IF(VLOOKUP(I48,Materialen!$A$2:$I$39,9,0)="",0,VLOOKUP(I48,Materialen!$A$2:$I$39,9,0)),0)*(1+N(O48))+N(L48)*IFERROR(IF(VLOOKUP(K48,Materialen!$A$2:$I$39,9,0)="",0,VLOOKUP(K48,Materialen!$A$2:$I$39,9,0)),0)+N(N48)*IFERROR(IF(VLOOKUP(M48,Materialen!$A$2:$I$39,9,0)="",0,VLOOKUP(M48,Materialen!$A$2:$I$39,9,0)),0),2)</f>
        <v/>
      </c>
      <c r="Q48" s="5">
        <f>IF(G48="",0,IF(IFERROR(VLOOKUP(G48,Materialen!$A$2:$I$39,5,0),"N")="J",ROUND(N(H48)*(1+N(O48))*Instellingen!$B$8,2),0))</f>
        <v/>
      </c>
      <c r="R48" s="18" t="n"/>
      <c r="S48" s="5">
        <f>ROUND(N(R48)/60*Instellingen!$B$9,2)</f>
        <v/>
      </c>
      <c r="T48" s="14" t="n"/>
      <c r="U48" s="5">
        <f>P48+Q48+S48+N(T48)</f>
        <v/>
      </c>
      <c r="V48" s="5">
        <f>IF(AC48&lt;&gt;"OK","",F48-U48)</f>
        <v/>
      </c>
      <c r="W48" s="6">
        <f>IF(OR(F48=0,AC48&lt;&gt;"OK"),"",V48/F48)</f>
        <v/>
      </c>
      <c r="X48" s="5">
        <f>IF(N(H48)&gt;0,F48/H48,"")</f>
        <v/>
      </c>
      <c r="Y48" s="5">
        <f>IF(N(H48)&gt;0,IFERROR(IF(VLOOKUP(G48,Materialen!$A$2:$I$39,9,0)="",0,VLOOKUP(G48,Materialen!$A$2:$I$39,9,0)),0),"")</f>
        <v/>
      </c>
      <c r="Z48" s="5">
        <f>ROUND(E48*F48,2)</f>
        <v/>
      </c>
      <c r="AA48" s="5">
        <f>IF(AC48&lt;&gt;"OK","",ROUND(E48*U48,2))</f>
        <v/>
      </c>
      <c r="AB48" s="5">
        <f>IF(AC48&lt;&gt;"OK","",Z48-AA48)</f>
        <v/>
      </c>
      <c r="AC48" s="7">
        <f>IF((IF(G48="",0,IF(IFERROR(IF(VLOOKUP(G48,Materialen!$A$2:$I$39,9,0)="",0,VLOOKUP(G48,Materialen!$A$2:$I$39,9,0)),0)=0,1,0))+IF(I48="",0,IF(IFERROR(IF(VLOOKUP(I48,Materialen!$A$2:$I$39,9,0)="",0,VLOOKUP(I48,Materialen!$A$2:$I$39,9,0)),0)=0,1,0))+IF(K48="",0,IF(IFERROR(IF(VLOOKUP(K48,Materialen!$A$2:$I$39,9,0)="",0,VLOOKUP(K48,Materialen!$A$2:$I$39,9,0)),0)=0,1,0))+IF(M48="",0,IF(IFERROR(IF(VLOOKUP(M48,Materialen!$A$2:$I$39,9,0)="",0,VLOOKUP(M48,Materialen!$A$2:$I$39,9,0)),0)=0,1,0)))&gt;0,"aankoopprijs ontbreekt",IF(AND(G48="",K48="",N(T48)=0,N(R48)=0),"kost invullen (arbeid/overig)","OK"))</f>
        <v/>
      </c>
      <c r="AD48" s="7" t="inlineStr"/>
    </row>
    <row r="49">
      <c r="A49" s="7" t="n">
        <v>48</v>
      </c>
      <c r="B49" s="7" t="inlineStr">
        <is>
          <t>Impression quadrichromie sur PLEXI mat opalin 2mm</t>
        </is>
      </c>
      <c r="C49" s="7" t="inlineStr">
        <is>
          <t>&gt; 2 m² et &lt;= 5 m²</t>
        </is>
      </c>
      <c r="D49" s="7" t="inlineStr">
        <is>
          <t>m²</t>
        </is>
      </c>
      <c r="E49" s="7" t="n">
        <v>5</v>
      </c>
      <c r="F49" s="5" t="n">
        <v>115</v>
      </c>
      <c r="G49" s="7" t="inlineStr">
        <is>
          <t>M34</t>
        </is>
      </c>
      <c r="H49" s="20" t="n">
        <v>1</v>
      </c>
      <c r="I49" s="7" t="n"/>
      <c r="J49" s="20" t="n"/>
      <c r="K49" s="7" t="n"/>
      <c r="L49" s="7" t="n"/>
      <c r="M49" s="7" t="n"/>
      <c r="N49" s="7" t="n"/>
      <c r="O49" s="6">
        <f>IF(G49="","",IF(IFERROR(VLOOKUP(G49,Materialen!$A$2:$I$39,4,0),"")="plaat",Instellingen!$B$4,Instellingen!$B$3))</f>
        <v/>
      </c>
      <c r="P49" s="5">
        <f>ROUND(N(H49)*IFERROR(IF(VLOOKUP(G49,Materialen!$A$2:$I$39,9,0)="",0,VLOOKUP(G49,Materialen!$A$2:$I$39,9,0)),0)*(1+N(O49))+N(J49)*IFERROR(IF(VLOOKUP(I49,Materialen!$A$2:$I$39,9,0)="",0,VLOOKUP(I49,Materialen!$A$2:$I$39,9,0)),0)*(1+N(O49))+N(L49)*IFERROR(IF(VLOOKUP(K49,Materialen!$A$2:$I$39,9,0)="",0,VLOOKUP(K49,Materialen!$A$2:$I$39,9,0)),0)+N(N49)*IFERROR(IF(VLOOKUP(M49,Materialen!$A$2:$I$39,9,0)="",0,VLOOKUP(M49,Materialen!$A$2:$I$39,9,0)),0),2)</f>
        <v/>
      </c>
      <c r="Q49" s="5">
        <f>IF(G49="",0,IF(IFERROR(VLOOKUP(G49,Materialen!$A$2:$I$39,5,0),"N")="J",ROUND(N(H49)*(1+N(O49))*Instellingen!$B$8,2),0))</f>
        <v/>
      </c>
      <c r="R49" s="18" t="n"/>
      <c r="S49" s="5">
        <f>ROUND(N(R49)/60*Instellingen!$B$9,2)</f>
        <v/>
      </c>
      <c r="T49" s="14" t="n"/>
      <c r="U49" s="5">
        <f>P49+Q49+S49+N(T49)</f>
        <v/>
      </c>
      <c r="V49" s="5">
        <f>IF(AC49&lt;&gt;"OK","",F49-U49)</f>
        <v/>
      </c>
      <c r="W49" s="6">
        <f>IF(OR(F49=0,AC49&lt;&gt;"OK"),"",V49/F49)</f>
        <v/>
      </c>
      <c r="X49" s="5">
        <f>IF(N(H49)&gt;0,F49/H49,"")</f>
        <v/>
      </c>
      <c r="Y49" s="5">
        <f>IF(N(H49)&gt;0,IFERROR(IF(VLOOKUP(G49,Materialen!$A$2:$I$39,9,0)="",0,VLOOKUP(G49,Materialen!$A$2:$I$39,9,0)),0),"")</f>
        <v/>
      </c>
      <c r="Z49" s="5">
        <f>ROUND(E49*F49,2)</f>
        <v/>
      </c>
      <c r="AA49" s="5">
        <f>IF(AC49&lt;&gt;"OK","",ROUND(E49*U49,2))</f>
        <v/>
      </c>
      <c r="AB49" s="5">
        <f>IF(AC49&lt;&gt;"OK","",Z49-AA49)</f>
        <v/>
      </c>
      <c r="AC49" s="7">
        <f>IF((IF(G49="",0,IF(IFERROR(IF(VLOOKUP(G49,Materialen!$A$2:$I$39,9,0)="",0,VLOOKUP(G49,Materialen!$A$2:$I$39,9,0)),0)=0,1,0))+IF(I49="",0,IF(IFERROR(IF(VLOOKUP(I49,Materialen!$A$2:$I$39,9,0)="",0,VLOOKUP(I49,Materialen!$A$2:$I$39,9,0)),0)=0,1,0))+IF(K49="",0,IF(IFERROR(IF(VLOOKUP(K49,Materialen!$A$2:$I$39,9,0)="",0,VLOOKUP(K49,Materialen!$A$2:$I$39,9,0)),0)=0,1,0))+IF(M49="",0,IF(IFERROR(IF(VLOOKUP(M49,Materialen!$A$2:$I$39,9,0)="",0,VLOOKUP(M49,Materialen!$A$2:$I$39,9,0)),0)=0,1,0)))&gt;0,"aankoopprijs ontbreekt",IF(AND(G49="",K49="",N(T49)=0,N(R49)=0),"kost invullen (arbeid/overig)","OK"))</f>
        <v/>
      </c>
      <c r="AD49" s="7" t="inlineStr"/>
    </row>
    <row r="50">
      <c r="A50" s="7" t="n">
        <v>49</v>
      </c>
      <c r="B50" s="7" t="inlineStr">
        <is>
          <t>Impression quadrichromie sur PLEXI mat opalin 2mm</t>
        </is>
      </c>
      <c r="C50" s="7" t="inlineStr">
        <is>
          <t>&gt; 5 m² et &lt;= 10 m²</t>
        </is>
      </c>
      <c r="D50" s="7" t="inlineStr">
        <is>
          <t>m²</t>
        </is>
      </c>
      <c r="E50" s="7" t="n">
        <v>5</v>
      </c>
      <c r="F50" s="5" t="n">
        <v>105</v>
      </c>
      <c r="G50" s="7" t="inlineStr">
        <is>
          <t>M34</t>
        </is>
      </c>
      <c r="H50" s="20" t="n">
        <v>1</v>
      </c>
      <c r="I50" s="7" t="n"/>
      <c r="J50" s="20" t="n"/>
      <c r="K50" s="7" t="n"/>
      <c r="L50" s="7" t="n"/>
      <c r="M50" s="7" t="n"/>
      <c r="N50" s="7" t="n"/>
      <c r="O50" s="6">
        <f>IF(G50="","",IF(IFERROR(VLOOKUP(G50,Materialen!$A$2:$I$39,4,0),"")="plaat",Instellingen!$B$4,Instellingen!$B$3))</f>
        <v/>
      </c>
      <c r="P50" s="5">
        <f>ROUND(N(H50)*IFERROR(IF(VLOOKUP(G50,Materialen!$A$2:$I$39,9,0)="",0,VLOOKUP(G50,Materialen!$A$2:$I$39,9,0)),0)*(1+N(O50))+N(J50)*IFERROR(IF(VLOOKUP(I50,Materialen!$A$2:$I$39,9,0)="",0,VLOOKUP(I50,Materialen!$A$2:$I$39,9,0)),0)*(1+N(O50))+N(L50)*IFERROR(IF(VLOOKUP(K50,Materialen!$A$2:$I$39,9,0)="",0,VLOOKUP(K50,Materialen!$A$2:$I$39,9,0)),0)+N(N50)*IFERROR(IF(VLOOKUP(M50,Materialen!$A$2:$I$39,9,0)="",0,VLOOKUP(M50,Materialen!$A$2:$I$39,9,0)),0),2)</f>
        <v/>
      </c>
      <c r="Q50" s="5">
        <f>IF(G50="",0,IF(IFERROR(VLOOKUP(G50,Materialen!$A$2:$I$39,5,0),"N")="J",ROUND(N(H50)*(1+N(O50))*Instellingen!$B$8,2),0))</f>
        <v/>
      </c>
      <c r="R50" s="18" t="n"/>
      <c r="S50" s="5">
        <f>ROUND(N(R50)/60*Instellingen!$B$9,2)</f>
        <v/>
      </c>
      <c r="T50" s="14" t="n"/>
      <c r="U50" s="5">
        <f>P50+Q50+S50+N(T50)</f>
        <v/>
      </c>
      <c r="V50" s="5">
        <f>IF(AC50&lt;&gt;"OK","",F50-U50)</f>
        <v/>
      </c>
      <c r="W50" s="6">
        <f>IF(OR(F50=0,AC50&lt;&gt;"OK"),"",V50/F50)</f>
        <v/>
      </c>
      <c r="X50" s="5">
        <f>IF(N(H50)&gt;0,F50/H50,"")</f>
        <v/>
      </c>
      <c r="Y50" s="5">
        <f>IF(N(H50)&gt;0,IFERROR(IF(VLOOKUP(G50,Materialen!$A$2:$I$39,9,0)="",0,VLOOKUP(G50,Materialen!$A$2:$I$39,9,0)),0),"")</f>
        <v/>
      </c>
      <c r="Z50" s="5">
        <f>ROUND(E50*F50,2)</f>
        <v/>
      </c>
      <c r="AA50" s="5">
        <f>IF(AC50&lt;&gt;"OK","",ROUND(E50*U50,2))</f>
        <v/>
      </c>
      <c r="AB50" s="5">
        <f>IF(AC50&lt;&gt;"OK","",Z50-AA50)</f>
        <v/>
      </c>
      <c r="AC50" s="7">
        <f>IF((IF(G50="",0,IF(IFERROR(IF(VLOOKUP(G50,Materialen!$A$2:$I$39,9,0)="",0,VLOOKUP(G50,Materialen!$A$2:$I$39,9,0)),0)=0,1,0))+IF(I50="",0,IF(IFERROR(IF(VLOOKUP(I50,Materialen!$A$2:$I$39,9,0)="",0,VLOOKUP(I50,Materialen!$A$2:$I$39,9,0)),0)=0,1,0))+IF(K50="",0,IF(IFERROR(IF(VLOOKUP(K50,Materialen!$A$2:$I$39,9,0)="",0,VLOOKUP(K50,Materialen!$A$2:$I$39,9,0)),0)=0,1,0))+IF(M50="",0,IF(IFERROR(IF(VLOOKUP(M50,Materialen!$A$2:$I$39,9,0)="",0,VLOOKUP(M50,Materialen!$A$2:$I$39,9,0)),0)=0,1,0)))&gt;0,"aankoopprijs ontbreekt",IF(AND(G50="",K50="",N(T50)=0,N(R50)=0),"kost invullen (arbeid/overig)","OK"))</f>
        <v/>
      </c>
      <c r="AD50" s="7" t="inlineStr"/>
    </row>
    <row r="51">
      <c r="A51" s="7" t="n">
        <v>50</v>
      </c>
      <c r="B51" s="7" t="inlineStr">
        <is>
          <t>Impression quadrichromie sur PLEXI mat opalin 2mm</t>
        </is>
      </c>
      <c r="C51" s="7" t="inlineStr">
        <is>
          <t>&gt; 10 m² et &lt;= 25 m²</t>
        </is>
      </c>
      <c r="D51" s="7" t="inlineStr">
        <is>
          <t>m²</t>
        </is>
      </c>
      <c r="E51" s="7" t="n">
        <v>5</v>
      </c>
      <c r="F51" s="5" t="n">
        <v>95</v>
      </c>
      <c r="G51" s="7" t="inlineStr">
        <is>
          <t>M34</t>
        </is>
      </c>
      <c r="H51" s="20" t="n">
        <v>1</v>
      </c>
      <c r="I51" s="7" t="n"/>
      <c r="J51" s="20" t="n"/>
      <c r="K51" s="7" t="n"/>
      <c r="L51" s="7" t="n"/>
      <c r="M51" s="7" t="n"/>
      <c r="N51" s="7" t="n"/>
      <c r="O51" s="6">
        <f>IF(G51="","",IF(IFERROR(VLOOKUP(G51,Materialen!$A$2:$I$39,4,0),"")="plaat",Instellingen!$B$4,Instellingen!$B$3))</f>
        <v/>
      </c>
      <c r="P51" s="5">
        <f>ROUND(N(H51)*IFERROR(IF(VLOOKUP(G51,Materialen!$A$2:$I$39,9,0)="",0,VLOOKUP(G51,Materialen!$A$2:$I$39,9,0)),0)*(1+N(O51))+N(J51)*IFERROR(IF(VLOOKUP(I51,Materialen!$A$2:$I$39,9,0)="",0,VLOOKUP(I51,Materialen!$A$2:$I$39,9,0)),0)*(1+N(O51))+N(L51)*IFERROR(IF(VLOOKUP(K51,Materialen!$A$2:$I$39,9,0)="",0,VLOOKUP(K51,Materialen!$A$2:$I$39,9,0)),0)+N(N51)*IFERROR(IF(VLOOKUP(M51,Materialen!$A$2:$I$39,9,0)="",0,VLOOKUP(M51,Materialen!$A$2:$I$39,9,0)),0),2)</f>
        <v/>
      </c>
      <c r="Q51" s="5">
        <f>IF(G51="",0,IF(IFERROR(VLOOKUP(G51,Materialen!$A$2:$I$39,5,0),"N")="J",ROUND(N(H51)*(1+N(O51))*Instellingen!$B$8,2),0))</f>
        <v/>
      </c>
      <c r="R51" s="18" t="n"/>
      <c r="S51" s="5">
        <f>ROUND(N(R51)/60*Instellingen!$B$9,2)</f>
        <v/>
      </c>
      <c r="T51" s="14" t="n"/>
      <c r="U51" s="5">
        <f>P51+Q51+S51+N(T51)</f>
        <v/>
      </c>
      <c r="V51" s="5">
        <f>IF(AC51&lt;&gt;"OK","",F51-U51)</f>
        <v/>
      </c>
      <c r="W51" s="6">
        <f>IF(OR(F51=0,AC51&lt;&gt;"OK"),"",V51/F51)</f>
        <v/>
      </c>
      <c r="X51" s="5">
        <f>IF(N(H51)&gt;0,F51/H51,"")</f>
        <v/>
      </c>
      <c r="Y51" s="5">
        <f>IF(N(H51)&gt;0,IFERROR(IF(VLOOKUP(G51,Materialen!$A$2:$I$39,9,0)="",0,VLOOKUP(G51,Materialen!$A$2:$I$39,9,0)),0),"")</f>
        <v/>
      </c>
      <c r="Z51" s="5">
        <f>ROUND(E51*F51,2)</f>
        <v/>
      </c>
      <c r="AA51" s="5">
        <f>IF(AC51&lt;&gt;"OK","",ROUND(E51*U51,2))</f>
        <v/>
      </c>
      <c r="AB51" s="5">
        <f>IF(AC51&lt;&gt;"OK","",Z51-AA51)</f>
        <v/>
      </c>
      <c r="AC51" s="7">
        <f>IF((IF(G51="",0,IF(IFERROR(IF(VLOOKUP(G51,Materialen!$A$2:$I$39,9,0)="",0,VLOOKUP(G51,Materialen!$A$2:$I$39,9,0)),0)=0,1,0))+IF(I51="",0,IF(IFERROR(IF(VLOOKUP(I51,Materialen!$A$2:$I$39,9,0)="",0,VLOOKUP(I51,Materialen!$A$2:$I$39,9,0)),0)=0,1,0))+IF(K51="",0,IF(IFERROR(IF(VLOOKUP(K51,Materialen!$A$2:$I$39,9,0)="",0,VLOOKUP(K51,Materialen!$A$2:$I$39,9,0)),0)=0,1,0))+IF(M51="",0,IF(IFERROR(IF(VLOOKUP(M51,Materialen!$A$2:$I$39,9,0)="",0,VLOOKUP(M51,Materialen!$A$2:$I$39,9,0)),0)=0,1,0)))&gt;0,"aankoopprijs ontbreekt",IF(AND(G51="",K51="",N(T51)=0,N(R51)=0),"kost invullen (arbeid/overig)","OK"))</f>
        <v/>
      </c>
      <c r="AD51" s="7" t="inlineStr"/>
    </row>
    <row r="52">
      <c r="A52" s="7" t="n">
        <v>51</v>
      </c>
      <c r="B52" s="7" t="inlineStr">
        <is>
          <t>Impression quadrichromie sur PLEXI mat opalin 2mm</t>
        </is>
      </c>
      <c r="C52" s="7" t="inlineStr">
        <is>
          <t>&gt; 25 m²</t>
        </is>
      </c>
      <c r="D52" s="7" t="inlineStr">
        <is>
          <t>m²</t>
        </is>
      </c>
      <c r="E52" s="7" t="n">
        <v>5</v>
      </c>
      <c r="F52" s="5" t="n">
        <v>90</v>
      </c>
      <c r="G52" s="7" t="inlineStr">
        <is>
          <t>M34</t>
        </is>
      </c>
      <c r="H52" s="20" t="n">
        <v>1</v>
      </c>
      <c r="I52" s="7" t="n"/>
      <c r="J52" s="20" t="n"/>
      <c r="K52" s="7" t="n"/>
      <c r="L52" s="7" t="n"/>
      <c r="M52" s="7" t="n"/>
      <c r="N52" s="7" t="n"/>
      <c r="O52" s="6">
        <f>IF(G52="","",IF(IFERROR(VLOOKUP(G52,Materialen!$A$2:$I$39,4,0),"")="plaat",Instellingen!$B$4,Instellingen!$B$3))</f>
        <v/>
      </c>
      <c r="P52" s="5">
        <f>ROUND(N(H52)*IFERROR(IF(VLOOKUP(G52,Materialen!$A$2:$I$39,9,0)="",0,VLOOKUP(G52,Materialen!$A$2:$I$39,9,0)),0)*(1+N(O52))+N(J52)*IFERROR(IF(VLOOKUP(I52,Materialen!$A$2:$I$39,9,0)="",0,VLOOKUP(I52,Materialen!$A$2:$I$39,9,0)),0)*(1+N(O52))+N(L52)*IFERROR(IF(VLOOKUP(K52,Materialen!$A$2:$I$39,9,0)="",0,VLOOKUP(K52,Materialen!$A$2:$I$39,9,0)),0)+N(N52)*IFERROR(IF(VLOOKUP(M52,Materialen!$A$2:$I$39,9,0)="",0,VLOOKUP(M52,Materialen!$A$2:$I$39,9,0)),0),2)</f>
        <v/>
      </c>
      <c r="Q52" s="5">
        <f>IF(G52="",0,IF(IFERROR(VLOOKUP(G52,Materialen!$A$2:$I$39,5,0),"N")="J",ROUND(N(H52)*(1+N(O52))*Instellingen!$B$8,2),0))</f>
        <v/>
      </c>
      <c r="R52" s="18" t="n"/>
      <c r="S52" s="5">
        <f>ROUND(N(R52)/60*Instellingen!$B$9,2)</f>
        <v/>
      </c>
      <c r="T52" s="14" t="n"/>
      <c r="U52" s="5">
        <f>P52+Q52+S52+N(T52)</f>
        <v/>
      </c>
      <c r="V52" s="5">
        <f>IF(AC52&lt;&gt;"OK","",F52-U52)</f>
        <v/>
      </c>
      <c r="W52" s="6">
        <f>IF(OR(F52=0,AC52&lt;&gt;"OK"),"",V52/F52)</f>
        <v/>
      </c>
      <c r="X52" s="5">
        <f>IF(N(H52)&gt;0,F52/H52,"")</f>
        <v/>
      </c>
      <c r="Y52" s="5">
        <f>IF(N(H52)&gt;0,IFERROR(IF(VLOOKUP(G52,Materialen!$A$2:$I$39,9,0)="",0,VLOOKUP(G52,Materialen!$A$2:$I$39,9,0)),0),"")</f>
        <v/>
      </c>
      <c r="Z52" s="5">
        <f>ROUND(E52*F52,2)</f>
        <v/>
      </c>
      <c r="AA52" s="5">
        <f>IF(AC52&lt;&gt;"OK","",ROUND(E52*U52,2))</f>
        <v/>
      </c>
      <c r="AB52" s="5">
        <f>IF(AC52&lt;&gt;"OK","",Z52-AA52)</f>
        <v/>
      </c>
      <c r="AC52" s="7">
        <f>IF((IF(G52="",0,IF(IFERROR(IF(VLOOKUP(G52,Materialen!$A$2:$I$39,9,0)="",0,VLOOKUP(G52,Materialen!$A$2:$I$39,9,0)),0)=0,1,0))+IF(I52="",0,IF(IFERROR(IF(VLOOKUP(I52,Materialen!$A$2:$I$39,9,0)="",0,VLOOKUP(I52,Materialen!$A$2:$I$39,9,0)),0)=0,1,0))+IF(K52="",0,IF(IFERROR(IF(VLOOKUP(K52,Materialen!$A$2:$I$39,9,0)="",0,VLOOKUP(K52,Materialen!$A$2:$I$39,9,0)),0)=0,1,0))+IF(M52="",0,IF(IFERROR(IF(VLOOKUP(M52,Materialen!$A$2:$I$39,9,0)="",0,VLOOKUP(M52,Materialen!$A$2:$I$39,9,0)),0)=0,1,0)))&gt;0,"aankoopprijs ontbreekt",IF(AND(G52="",K52="",N(T52)=0,N(R52)=0),"kost invullen (arbeid/overig)","OK"))</f>
        <v/>
      </c>
      <c r="AD52" s="7" t="inlineStr"/>
    </row>
    <row r="53">
      <c r="A53" s="7" t="n">
        <v>52</v>
      </c>
      <c r="B53" s="7" t="inlineStr">
        <is>
          <t>Impression quadrichromie sur PLEXI mat opalin 3mm</t>
        </is>
      </c>
      <c r="C53" s="7" t="inlineStr">
        <is>
          <t>&gt;= A2 et &lt;= 1 m²</t>
        </is>
      </c>
      <c r="D53" s="7" t="inlineStr">
        <is>
          <t>m²</t>
        </is>
      </c>
      <c r="E53" s="7" t="n">
        <v>5</v>
      </c>
      <c r="F53" s="5" t="n">
        <v>155</v>
      </c>
      <c r="G53" s="7" t="inlineStr">
        <is>
          <t>M35</t>
        </is>
      </c>
      <c r="H53" s="20" t="n">
        <v>1</v>
      </c>
      <c r="I53" s="7" t="n"/>
      <c r="J53" s="20" t="n"/>
      <c r="K53" s="7" t="n"/>
      <c r="L53" s="7" t="n"/>
      <c r="M53" s="7" t="n"/>
      <c r="N53" s="7" t="n"/>
      <c r="O53" s="6">
        <f>IF(G53="","",IF(IFERROR(VLOOKUP(G53,Materialen!$A$2:$I$39,4,0),"")="plaat",Instellingen!$B$4,Instellingen!$B$3))</f>
        <v/>
      </c>
      <c r="P53" s="5">
        <f>ROUND(N(H53)*IFERROR(IF(VLOOKUP(G53,Materialen!$A$2:$I$39,9,0)="",0,VLOOKUP(G53,Materialen!$A$2:$I$39,9,0)),0)*(1+N(O53))+N(J53)*IFERROR(IF(VLOOKUP(I53,Materialen!$A$2:$I$39,9,0)="",0,VLOOKUP(I53,Materialen!$A$2:$I$39,9,0)),0)*(1+N(O53))+N(L53)*IFERROR(IF(VLOOKUP(K53,Materialen!$A$2:$I$39,9,0)="",0,VLOOKUP(K53,Materialen!$A$2:$I$39,9,0)),0)+N(N53)*IFERROR(IF(VLOOKUP(M53,Materialen!$A$2:$I$39,9,0)="",0,VLOOKUP(M53,Materialen!$A$2:$I$39,9,0)),0),2)</f>
        <v/>
      </c>
      <c r="Q53" s="5">
        <f>IF(G53="",0,IF(IFERROR(VLOOKUP(G53,Materialen!$A$2:$I$39,5,0),"N")="J",ROUND(N(H53)*(1+N(O53))*Instellingen!$B$8,2),0))</f>
        <v/>
      </c>
      <c r="R53" s="18" t="n"/>
      <c r="S53" s="5">
        <f>ROUND(N(R53)/60*Instellingen!$B$9,2)</f>
        <v/>
      </c>
      <c r="T53" s="14" t="n"/>
      <c r="U53" s="5">
        <f>P53+Q53+S53+N(T53)</f>
        <v/>
      </c>
      <c r="V53" s="5">
        <f>IF(AC53&lt;&gt;"OK","",F53-U53)</f>
        <v/>
      </c>
      <c r="W53" s="6">
        <f>IF(OR(F53=0,AC53&lt;&gt;"OK"),"",V53/F53)</f>
        <v/>
      </c>
      <c r="X53" s="5">
        <f>IF(N(H53)&gt;0,F53/H53,"")</f>
        <v/>
      </c>
      <c r="Y53" s="5">
        <f>IF(N(H53)&gt;0,IFERROR(IF(VLOOKUP(G53,Materialen!$A$2:$I$39,9,0)="",0,VLOOKUP(G53,Materialen!$A$2:$I$39,9,0)),0),"")</f>
        <v/>
      </c>
      <c r="Z53" s="5">
        <f>ROUND(E53*F53,2)</f>
        <v/>
      </c>
      <c r="AA53" s="5">
        <f>IF(AC53&lt;&gt;"OK","",ROUND(E53*U53,2))</f>
        <v/>
      </c>
      <c r="AB53" s="5">
        <f>IF(AC53&lt;&gt;"OK","",Z53-AA53)</f>
        <v/>
      </c>
      <c r="AC53" s="7">
        <f>IF((IF(G53="",0,IF(IFERROR(IF(VLOOKUP(G53,Materialen!$A$2:$I$39,9,0)="",0,VLOOKUP(G53,Materialen!$A$2:$I$39,9,0)),0)=0,1,0))+IF(I53="",0,IF(IFERROR(IF(VLOOKUP(I53,Materialen!$A$2:$I$39,9,0)="",0,VLOOKUP(I53,Materialen!$A$2:$I$39,9,0)),0)=0,1,0))+IF(K53="",0,IF(IFERROR(IF(VLOOKUP(K53,Materialen!$A$2:$I$39,9,0)="",0,VLOOKUP(K53,Materialen!$A$2:$I$39,9,0)),0)=0,1,0))+IF(M53="",0,IF(IFERROR(IF(VLOOKUP(M53,Materialen!$A$2:$I$39,9,0)="",0,VLOOKUP(M53,Materialen!$A$2:$I$39,9,0)),0)=0,1,0)))&gt;0,"aankoopprijs ontbreekt",IF(AND(G53="",K53="",N(T53)=0,N(R53)=0),"kost invullen (arbeid/overig)","OK"))</f>
        <v/>
      </c>
      <c r="AD53" s="7" t="inlineStr"/>
    </row>
    <row r="54">
      <c r="A54" s="7" t="n">
        <v>53</v>
      </c>
      <c r="B54" s="7" t="inlineStr">
        <is>
          <t>Impression quadrichromie sur PLEXI mat opalin 3mm</t>
        </is>
      </c>
      <c r="C54" s="7" t="inlineStr">
        <is>
          <t>&gt; 1 m² et &lt;= 2 m²</t>
        </is>
      </c>
      <c r="D54" s="7" t="inlineStr">
        <is>
          <t>m²</t>
        </is>
      </c>
      <c r="E54" s="7" t="n">
        <v>5</v>
      </c>
      <c r="F54" s="5" t="n">
        <v>138</v>
      </c>
      <c r="G54" s="7" t="inlineStr">
        <is>
          <t>M35</t>
        </is>
      </c>
      <c r="H54" s="20" t="n">
        <v>1</v>
      </c>
      <c r="I54" s="7" t="n"/>
      <c r="J54" s="20" t="n"/>
      <c r="K54" s="7" t="n"/>
      <c r="L54" s="7" t="n"/>
      <c r="M54" s="7" t="n"/>
      <c r="N54" s="7" t="n"/>
      <c r="O54" s="6">
        <f>IF(G54="","",IF(IFERROR(VLOOKUP(G54,Materialen!$A$2:$I$39,4,0),"")="plaat",Instellingen!$B$4,Instellingen!$B$3))</f>
        <v/>
      </c>
      <c r="P54" s="5">
        <f>ROUND(N(H54)*IFERROR(IF(VLOOKUP(G54,Materialen!$A$2:$I$39,9,0)="",0,VLOOKUP(G54,Materialen!$A$2:$I$39,9,0)),0)*(1+N(O54))+N(J54)*IFERROR(IF(VLOOKUP(I54,Materialen!$A$2:$I$39,9,0)="",0,VLOOKUP(I54,Materialen!$A$2:$I$39,9,0)),0)*(1+N(O54))+N(L54)*IFERROR(IF(VLOOKUP(K54,Materialen!$A$2:$I$39,9,0)="",0,VLOOKUP(K54,Materialen!$A$2:$I$39,9,0)),0)+N(N54)*IFERROR(IF(VLOOKUP(M54,Materialen!$A$2:$I$39,9,0)="",0,VLOOKUP(M54,Materialen!$A$2:$I$39,9,0)),0),2)</f>
        <v/>
      </c>
      <c r="Q54" s="5">
        <f>IF(G54="",0,IF(IFERROR(VLOOKUP(G54,Materialen!$A$2:$I$39,5,0),"N")="J",ROUND(N(H54)*(1+N(O54))*Instellingen!$B$8,2),0))</f>
        <v/>
      </c>
      <c r="R54" s="18" t="n"/>
      <c r="S54" s="5">
        <f>ROUND(N(R54)/60*Instellingen!$B$9,2)</f>
        <v/>
      </c>
      <c r="T54" s="14" t="n"/>
      <c r="U54" s="5">
        <f>P54+Q54+S54+N(T54)</f>
        <v/>
      </c>
      <c r="V54" s="5">
        <f>IF(AC54&lt;&gt;"OK","",F54-U54)</f>
        <v/>
      </c>
      <c r="W54" s="6">
        <f>IF(OR(F54=0,AC54&lt;&gt;"OK"),"",V54/F54)</f>
        <v/>
      </c>
      <c r="X54" s="5">
        <f>IF(N(H54)&gt;0,F54/H54,"")</f>
        <v/>
      </c>
      <c r="Y54" s="5">
        <f>IF(N(H54)&gt;0,IFERROR(IF(VLOOKUP(G54,Materialen!$A$2:$I$39,9,0)="",0,VLOOKUP(G54,Materialen!$A$2:$I$39,9,0)),0),"")</f>
        <v/>
      </c>
      <c r="Z54" s="5">
        <f>ROUND(E54*F54,2)</f>
        <v/>
      </c>
      <c r="AA54" s="5">
        <f>IF(AC54&lt;&gt;"OK","",ROUND(E54*U54,2))</f>
        <v/>
      </c>
      <c r="AB54" s="5">
        <f>IF(AC54&lt;&gt;"OK","",Z54-AA54)</f>
        <v/>
      </c>
      <c r="AC54" s="7">
        <f>IF((IF(G54="",0,IF(IFERROR(IF(VLOOKUP(G54,Materialen!$A$2:$I$39,9,0)="",0,VLOOKUP(G54,Materialen!$A$2:$I$39,9,0)),0)=0,1,0))+IF(I54="",0,IF(IFERROR(IF(VLOOKUP(I54,Materialen!$A$2:$I$39,9,0)="",0,VLOOKUP(I54,Materialen!$A$2:$I$39,9,0)),0)=0,1,0))+IF(K54="",0,IF(IFERROR(IF(VLOOKUP(K54,Materialen!$A$2:$I$39,9,0)="",0,VLOOKUP(K54,Materialen!$A$2:$I$39,9,0)),0)=0,1,0))+IF(M54="",0,IF(IFERROR(IF(VLOOKUP(M54,Materialen!$A$2:$I$39,9,0)="",0,VLOOKUP(M54,Materialen!$A$2:$I$39,9,0)),0)=0,1,0)))&gt;0,"aankoopprijs ontbreekt",IF(AND(G54="",K54="",N(T54)=0,N(R54)=0),"kost invullen (arbeid/overig)","OK"))</f>
        <v/>
      </c>
      <c r="AD54" s="7" t="inlineStr"/>
    </row>
    <row r="55">
      <c r="A55" s="7" t="n">
        <v>54</v>
      </c>
      <c r="B55" s="7" t="inlineStr">
        <is>
          <t>Impression quadrichromie sur PLEXI mat opalin 3mm</t>
        </is>
      </c>
      <c r="C55" s="7" t="inlineStr">
        <is>
          <t>&gt; 2 m² et &lt;= 5 m²</t>
        </is>
      </c>
      <c r="D55" s="7" t="inlineStr">
        <is>
          <t>m²</t>
        </is>
      </c>
      <c r="E55" s="7" t="n">
        <v>5</v>
      </c>
      <c r="F55" s="5" t="n">
        <v>126</v>
      </c>
      <c r="G55" s="7" t="inlineStr">
        <is>
          <t>M35</t>
        </is>
      </c>
      <c r="H55" s="20" t="n">
        <v>1</v>
      </c>
      <c r="I55" s="7" t="n"/>
      <c r="J55" s="20" t="n"/>
      <c r="K55" s="7" t="n"/>
      <c r="L55" s="7" t="n"/>
      <c r="M55" s="7" t="n"/>
      <c r="N55" s="7" t="n"/>
      <c r="O55" s="6">
        <f>IF(G55="","",IF(IFERROR(VLOOKUP(G55,Materialen!$A$2:$I$39,4,0),"")="plaat",Instellingen!$B$4,Instellingen!$B$3))</f>
        <v/>
      </c>
      <c r="P55" s="5">
        <f>ROUND(N(H55)*IFERROR(IF(VLOOKUP(G55,Materialen!$A$2:$I$39,9,0)="",0,VLOOKUP(G55,Materialen!$A$2:$I$39,9,0)),0)*(1+N(O55))+N(J55)*IFERROR(IF(VLOOKUP(I55,Materialen!$A$2:$I$39,9,0)="",0,VLOOKUP(I55,Materialen!$A$2:$I$39,9,0)),0)*(1+N(O55))+N(L55)*IFERROR(IF(VLOOKUP(K55,Materialen!$A$2:$I$39,9,0)="",0,VLOOKUP(K55,Materialen!$A$2:$I$39,9,0)),0)+N(N55)*IFERROR(IF(VLOOKUP(M55,Materialen!$A$2:$I$39,9,0)="",0,VLOOKUP(M55,Materialen!$A$2:$I$39,9,0)),0),2)</f>
        <v/>
      </c>
      <c r="Q55" s="5">
        <f>IF(G55="",0,IF(IFERROR(VLOOKUP(G55,Materialen!$A$2:$I$39,5,0),"N")="J",ROUND(N(H55)*(1+N(O55))*Instellingen!$B$8,2),0))</f>
        <v/>
      </c>
      <c r="R55" s="18" t="n"/>
      <c r="S55" s="5">
        <f>ROUND(N(R55)/60*Instellingen!$B$9,2)</f>
        <v/>
      </c>
      <c r="T55" s="14" t="n"/>
      <c r="U55" s="5">
        <f>P55+Q55+S55+N(T55)</f>
        <v/>
      </c>
      <c r="V55" s="5">
        <f>IF(AC55&lt;&gt;"OK","",F55-U55)</f>
        <v/>
      </c>
      <c r="W55" s="6">
        <f>IF(OR(F55=0,AC55&lt;&gt;"OK"),"",V55/F55)</f>
        <v/>
      </c>
      <c r="X55" s="5">
        <f>IF(N(H55)&gt;0,F55/H55,"")</f>
        <v/>
      </c>
      <c r="Y55" s="5">
        <f>IF(N(H55)&gt;0,IFERROR(IF(VLOOKUP(G55,Materialen!$A$2:$I$39,9,0)="",0,VLOOKUP(G55,Materialen!$A$2:$I$39,9,0)),0),"")</f>
        <v/>
      </c>
      <c r="Z55" s="5">
        <f>ROUND(E55*F55,2)</f>
        <v/>
      </c>
      <c r="AA55" s="5">
        <f>IF(AC55&lt;&gt;"OK","",ROUND(E55*U55,2))</f>
        <v/>
      </c>
      <c r="AB55" s="5">
        <f>IF(AC55&lt;&gt;"OK","",Z55-AA55)</f>
        <v/>
      </c>
      <c r="AC55" s="7">
        <f>IF((IF(G55="",0,IF(IFERROR(IF(VLOOKUP(G55,Materialen!$A$2:$I$39,9,0)="",0,VLOOKUP(G55,Materialen!$A$2:$I$39,9,0)),0)=0,1,0))+IF(I55="",0,IF(IFERROR(IF(VLOOKUP(I55,Materialen!$A$2:$I$39,9,0)="",0,VLOOKUP(I55,Materialen!$A$2:$I$39,9,0)),0)=0,1,0))+IF(K55="",0,IF(IFERROR(IF(VLOOKUP(K55,Materialen!$A$2:$I$39,9,0)="",0,VLOOKUP(K55,Materialen!$A$2:$I$39,9,0)),0)=0,1,0))+IF(M55="",0,IF(IFERROR(IF(VLOOKUP(M55,Materialen!$A$2:$I$39,9,0)="",0,VLOOKUP(M55,Materialen!$A$2:$I$39,9,0)),0)=0,1,0)))&gt;0,"aankoopprijs ontbreekt",IF(AND(G55="",K55="",N(T55)=0,N(R55)=0),"kost invullen (arbeid/overig)","OK"))</f>
        <v/>
      </c>
      <c r="AD55" s="7" t="inlineStr"/>
    </row>
    <row r="56">
      <c r="A56" s="7" t="n">
        <v>55</v>
      </c>
      <c r="B56" s="7" t="inlineStr">
        <is>
          <t>Impression quadrichromie sur PLEXI mat opalin 3mm</t>
        </is>
      </c>
      <c r="C56" s="7" t="inlineStr">
        <is>
          <t>&gt; 5 m² et &lt;= 10 m²</t>
        </is>
      </c>
      <c r="D56" s="7" t="inlineStr">
        <is>
          <t>m²</t>
        </is>
      </c>
      <c r="E56" s="7" t="n">
        <v>5</v>
      </c>
      <c r="F56" s="5" t="n">
        <v>115</v>
      </c>
      <c r="G56" s="7" t="inlineStr">
        <is>
          <t>M35</t>
        </is>
      </c>
      <c r="H56" s="20" t="n">
        <v>1</v>
      </c>
      <c r="I56" s="7" t="n"/>
      <c r="J56" s="20" t="n"/>
      <c r="K56" s="7" t="n"/>
      <c r="L56" s="7" t="n"/>
      <c r="M56" s="7" t="n"/>
      <c r="N56" s="7" t="n"/>
      <c r="O56" s="6">
        <f>IF(G56="","",IF(IFERROR(VLOOKUP(G56,Materialen!$A$2:$I$39,4,0),"")="plaat",Instellingen!$B$4,Instellingen!$B$3))</f>
        <v/>
      </c>
      <c r="P56" s="5">
        <f>ROUND(N(H56)*IFERROR(IF(VLOOKUP(G56,Materialen!$A$2:$I$39,9,0)="",0,VLOOKUP(G56,Materialen!$A$2:$I$39,9,0)),0)*(1+N(O56))+N(J56)*IFERROR(IF(VLOOKUP(I56,Materialen!$A$2:$I$39,9,0)="",0,VLOOKUP(I56,Materialen!$A$2:$I$39,9,0)),0)*(1+N(O56))+N(L56)*IFERROR(IF(VLOOKUP(K56,Materialen!$A$2:$I$39,9,0)="",0,VLOOKUP(K56,Materialen!$A$2:$I$39,9,0)),0)+N(N56)*IFERROR(IF(VLOOKUP(M56,Materialen!$A$2:$I$39,9,0)="",0,VLOOKUP(M56,Materialen!$A$2:$I$39,9,0)),0),2)</f>
        <v/>
      </c>
      <c r="Q56" s="5">
        <f>IF(G56="",0,IF(IFERROR(VLOOKUP(G56,Materialen!$A$2:$I$39,5,0),"N")="J",ROUND(N(H56)*(1+N(O56))*Instellingen!$B$8,2),0))</f>
        <v/>
      </c>
      <c r="R56" s="18" t="n"/>
      <c r="S56" s="5">
        <f>ROUND(N(R56)/60*Instellingen!$B$9,2)</f>
        <v/>
      </c>
      <c r="T56" s="14" t="n"/>
      <c r="U56" s="5">
        <f>P56+Q56+S56+N(T56)</f>
        <v/>
      </c>
      <c r="V56" s="5">
        <f>IF(AC56&lt;&gt;"OK","",F56-U56)</f>
        <v/>
      </c>
      <c r="W56" s="6">
        <f>IF(OR(F56=0,AC56&lt;&gt;"OK"),"",V56/F56)</f>
        <v/>
      </c>
      <c r="X56" s="5">
        <f>IF(N(H56)&gt;0,F56/H56,"")</f>
        <v/>
      </c>
      <c r="Y56" s="5">
        <f>IF(N(H56)&gt;0,IFERROR(IF(VLOOKUP(G56,Materialen!$A$2:$I$39,9,0)="",0,VLOOKUP(G56,Materialen!$A$2:$I$39,9,0)),0),"")</f>
        <v/>
      </c>
      <c r="Z56" s="5">
        <f>ROUND(E56*F56,2)</f>
        <v/>
      </c>
      <c r="AA56" s="5">
        <f>IF(AC56&lt;&gt;"OK","",ROUND(E56*U56,2))</f>
        <v/>
      </c>
      <c r="AB56" s="5">
        <f>IF(AC56&lt;&gt;"OK","",Z56-AA56)</f>
        <v/>
      </c>
      <c r="AC56" s="7">
        <f>IF((IF(G56="",0,IF(IFERROR(IF(VLOOKUP(G56,Materialen!$A$2:$I$39,9,0)="",0,VLOOKUP(G56,Materialen!$A$2:$I$39,9,0)),0)=0,1,0))+IF(I56="",0,IF(IFERROR(IF(VLOOKUP(I56,Materialen!$A$2:$I$39,9,0)="",0,VLOOKUP(I56,Materialen!$A$2:$I$39,9,0)),0)=0,1,0))+IF(K56="",0,IF(IFERROR(IF(VLOOKUP(K56,Materialen!$A$2:$I$39,9,0)="",0,VLOOKUP(K56,Materialen!$A$2:$I$39,9,0)),0)=0,1,0))+IF(M56="",0,IF(IFERROR(IF(VLOOKUP(M56,Materialen!$A$2:$I$39,9,0)="",0,VLOOKUP(M56,Materialen!$A$2:$I$39,9,0)),0)=0,1,0)))&gt;0,"aankoopprijs ontbreekt",IF(AND(G56="",K56="",N(T56)=0,N(R56)=0),"kost invullen (arbeid/overig)","OK"))</f>
        <v/>
      </c>
      <c r="AD56" s="7" t="inlineStr"/>
    </row>
    <row r="57">
      <c r="A57" s="7" t="n">
        <v>56</v>
      </c>
      <c r="B57" s="7" t="inlineStr">
        <is>
          <t>Impression quadrichromie sur PLEXI mat opalin 3mm</t>
        </is>
      </c>
      <c r="C57" s="7" t="inlineStr">
        <is>
          <t>&gt; 10 m² et &lt;= 25 m²</t>
        </is>
      </c>
      <c r="D57" s="7" t="inlineStr">
        <is>
          <t>m²</t>
        </is>
      </c>
      <c r="E57" s="7" t="n">
        <v>5</v>
      </c>
      <c r="F57" s="5" t="n">
        <v>105</v>
      </c>
      <c r="G57" s="7" t="inlineStr">
        <is>
          <t>M35</t>
        </is>
      </c>
      <c r="H57" s="20" t="n">
        <v>1</v>
      </c>
      <c r="I57" s="7" t="n"/>
      <c r="J57" s="20" t="n"/>
      <c r="K57" s="7" t="n"/>
      <c r="L57" s="7" t="n"/>
      <c r="M57" s="7" t="n"/>
      <c r="N57" s="7" t="n"/>
      <c r="O57" s="6">
        <f>IF(G57="","",IF(IFERROR(VLOOKUP(G57,Materialen!$A$2:$I$39,4,0),"")="plaat",Instellingen!$B$4,Instellingen!$B$3))</f>
        <v/>
      </c>
      <c r="P57" s="5">
        <f>ROUND(N(H57)*IFERROR(IF(VLOOKUP(G57,Materialen!$A$2:$I$39,9,0)="",0,VLOOKUP(G57,Materialen!$A$2:$I$39,9,0)),0)*(1+N(O57))+N(J57)*IFERROR(IF(VLOOKUP(I57,Materialen!$A$2:$I$39,9,0)="",0,VLOOKUP(I57,Materialen!$A$2:$I$39,9,0)),0)*(1+N(O57))+N(L57)*IFERROR(IF(VLOOKUP(K57,Materialen!$A$2:$I$39,9,0)="",0,VLOOKUP(K57,Materialen!$A$2:$I$39,9,0)),0)+N(N57)*IFERROR(IF(VLOOKUP(M57,Materialen!$A$2:$I$39,9,0)="",0,VLOOKUP(M57,Materialen!$A$2:$I$39,9,0)),0),2)</f>
        <v/>
      </c>
      <c r="Q57" s="5">
        <f>IF(G57="",0,IF(IFERROR(VLOOKUP(G57,Materialen!$A$2:$I$39,5,0),"N")="J",ROUND(N(H57)*(1+N(O57))*Instellingen!$B$8,2),0))</f>
        <v/>
      </c>
      <c r="R57" s="18" t="n"/>
      <c r="S57" s="5">
        <f>ROUND(N(R57)/60*Instellingen!$B$9,2)</f>
        <v/>
      </c>
      <c r="T57" s="14" t="n"/>
      <c r="U57" s="5">
        <f>P57+Q57+S57+N(T57)</f>
        <v/>
      </c>
      <c r="V57" s="5">
        <f>IF(AC57&lt;&gt;"OK","",F57-U57)</f>
        <v/>
      </c>
      <c r="W57" s="6">
        <f>IF(OR(F57=0,AC57&lt;&gt;"OK"),"",V57/F57)</f>
        <v/>
      </c>
      <c r="X57" s="5">
        <f>IF(N(H57)&gt;0,F57/H57,"")</f>
        <v/>
      </c>
      <c r="Y57" s="5">
        <f>IF(N(H57)&gt;0,IFERROR(IF(VLOOKUP(G57,Materialen!$A$2:$I$39,9,0)="",0,VLOOKUP(G57,Materialen!$A$2:$I$39,9,0)),0),"")</f>
        <v/>
      </c>
      <c r="Z57" s="5">
        <f>ROUND(E57*F57,2)</f>
        <v/>
      </c>
      <c r="AA57" s="5">
        <f>IF(AC57&lt;&gt;"OK","",ROUND(E57*U57,2))</f>
        <v/>
      </c>
      <c r="AB57" s="5">
        <f>IF(AC57&lt;&gt;"OK","",Z57-AA57)</f>
        <v/>
      </c>
      <c r="AC57" s="7">
        <f>IF((IF(G57="",0,IF(IFERROR(IF(VLOOKUP(G57,Materialen!$A$2:$I$39,9,0)="",0,VLOOKUP(G57,Materialen!$A$2:$I$39,9,0)),0)=0,1,0))+IF(I57="",0,IF(IFERROR(IF(VLOOKUP(I57,Materialen!$A$2:$I$39,9,0)="",0,VLOOKUP(I57,Materialen!$A$2:$I$39,9,0)),0)=0,1,0))+IF(K57="",0,IF(IFERROR(IF(VLOOKUP(K57,Materialen!$A$2:$I$39,9,0)="",0,VLOOKUP(K57,Materialen!$A$2:$I$39,9,0)),0)=0,1,0))+IF(M57="",0,IF(IFERROR(IF(VLOOKUP(M57,Materialen!$A$2:$I$39,9,0)="",0,VLOOKUP(M57,Materialen!$A$2:$I$39,9,0)),0)=0,1,0)))&gt;0,"aankoopprijs ontbreekt",IF(AND(G57="",K57="",N(T57)=0,N(R57)=0),"kost invullen (arbeid/overig)","OK"))</f>
        <v/>
      </c>
      <c r="AD57" s="7" t="inlineStr"/>
    </row>
    <row r="58">
      <c r="A58" s="7" t="n">
        <v>57</v>
      </c>
      <c r="B58" s="7" t="inlineStr">
        <is>
          <t>Impression quadrichromie sur PLEXI mat opalin 3mm</t>
        </is>
      </c>
      <c r="C58" s="7" t="inlineStr">
        <is>
          <t>&gt; 25 m²</t>
        </is>
      </c>
      <c r="D58" s="7" t="inlineStr">
        <is>
          <t>m²</t>
        </is>
      </c>
      <c r="E58" s="7" t="n">
        <v>5</v>
      </c>
      <c r="F58" s="5" t="n">
        <v>98</v>
      </c>
      <c r="G58" s="7" t="inlineStr">
        <is>
          <t>M35</t>
        </is>
      </c>
      <c r="H58" s="20" t="n">
        <v>1</v>
      </c>
      <c r="I58" s="7" t="n"/>
      <c r="J58" s="20" t="n"/>
      <c r="K58" s="7" t="n"/>
      <c r="L58" s="7" t="n"/>
      <c r="M58" s="7" t="n"/>
      <c r="N58" s="7" t="n"/>
      <c r="O58" s="6">
        <f>IF(G58="","",IF(IFERROR(VLOOKUP(G58,Materialen!$A$2:$I$39,4,0),"")="plaat",Instellingen!$B$4,Instellingen!$B$3))</f>
        <v/>
      </c>
      <c r="P58" s="5">
        <f>ROUND(N(H58)*IFERROR(IF(VLOOKUP(G58,Materialen!$A$2:$I$39,9,0)="",0,VLOOKUP(G58,Materialen!$A$2:$I$39,9,0)),0)*(1+N(O58))+N(J58)*IFERROR(IF(VLOOKUP(I58,Materialen!$A$2:$I$39,9,0)="",0,VLOOKUP(I58,Materialen!$A$2:$I$39,9,0)),0)*(1+N(O58))+N(L58)*IFERROR(IF(VLOOKUP(K58,Materialen!$A$2:$I$39,9,0)="",0,VLOOKUP(K58,Materialen!$A$2:$I$39,9,0)),0)+N(N58)*IFERROR(IF(VLOOKUP(M58,Materialen!$A$2:$I$39,9,0)="",0,VLOOKUP(M58,Materialen!$A$2:$I$39,9,0)),0),2)</f>
        <v/>
      </c>
      <c r="Q58" s="5">
        <f>IF(G58="",0,IF(IFERROR(VLOOKUP(G58,Materialen!$A$2:$I$39,5,0),"N")="J",ROUND(N(H58)*(1+N(O58))*Instellingen!$B$8,2),0))</f>
        <v/>
      </c>
      <c r="R58" s="18" t="n"/>
      <c r="S58" s="5">
        <f>ROUND(N(R58)/60*Instellingen!$B$9,2)</f>
        <v/>
      </c>
      <c r="T58" s="14" t="n"/>
      <c r="U58" s="5">
        <f>P58+Q58+S58+N(T58)</f>
        <v/>
      </c>
      <c r="V58" s="5">
        <f>IF(AC58&lt;&gt;"OK","",F58-U58)</f>
        <v/>
      </c>
      <c r="W58" s="6">
        <f>IF(OR(F58=0,AC58&lt;&gt;"OK"),"",V58/F58)</f>
        <v/>
      </c>
      <c r="X58" s="5">
        <f>IF(N(H58)&gt;0,F58/H58,"")</f>
        <v/>
      </c>
      <c r="Y58" s="5">
        <f>IF(N(H58)&gt;0,IFERROR(IF(VLOOKUP(G58,Materialen!$A$2:$I$39,9,0)="",0,VLOOKUP(G58,Materialen!$A$2:$I$39,9,0)),0),"")</f>
        <v/>
      </c>
      <c r="Z58" s="5">
        <f>ROUND(E58*F58,2)</f>
        <v/>
      </c>
      <c r="AA58" s="5">
        <f>IF(AC58&lt;&gt;"OK","",ROUND(E58*U58,2))</f>
        <v/>
      </c>
      <c r="AB58" s="5">
        <f>IF(AC58&lt;&gt;"OK","",Z58-AA58)</f>
        <v/>
      </c>
      <c r="AC58" s="7">
        <f>IF((IF(G58="",0,IF(IFERROR(IF(VLOOKUP(G58,Materialen!$A$2:$I$39,9,0)="",0,VLOOKUP(G58,Materialen!$A$2:$I$39,9,0)),0)=0,1,0))+IF(I58="",0,IF(IFERROR(IF(VLOOKUP(I58,Materialen!$A$2:$I$39,9,0)="",0,VLOOKUP(I58,Materialen!$A$2:$I$39,9,0)),0)=0,1,0))+IF(K58="",0,IF(IFERROR(IF(VLOOKUP(K58,Materialen!$A$2:$I$39,9,0)="",0,VLOOKUP(K58,Materialen!$A$2:$I$39,9,0)),0)=0,1,0))+IF(M58="",0,IF(IFERROR(IF(VLOOKUP(M58,Materialen!$A$2:$I$39,9,0)="",0,VLOOKUP(M58,Materialen!$A$2:$I$39,9,0)),0)=0,1,0)))&gt;0,"aankoopprijs ontbreekt",IF(AND(G58="",K58="",N(T58)=0,N(R58)=0),"kost invullen (arbeid/overig)","OK"))</f>
        <v/>
      </c>
      <c r="AD58" s="7" t="inlineStr"/>
    </row>
    <row r="59">
      <c r="A59" s="7" t="n">
        <v>58</v>
      </c>
      <c r="B59" s="7" t="inlineStr">
        <is>
          <t>Impression noir ou quadrichromie sur carton 2mm</t>
        </is>
      </c>
      <c r="C59" s="7" t="inlineStr">
        <is>
          <t>&gt;= A2 et &lt;= 1 m²</t>
        </is>
      </c>
      <c r="D59" s="7" t="inlineStr">
        <is>
          <t>m²</t>
        </is>
      </c>
      <c r="E59" s="7" t="n">
        <v>5</v>
      </c>
      <c r="F59" s="5" t="n">
        <v>38</v>
      </c>
      <c r="G59" s="7" t="inlineStr">
        <is>
          <t>M36</t>
        </is>
      </c>
      <c r="H59" s="20" t="n">
        <v>1</v>
      </c>
      <c r="I59" s="7" t="n"/>
      <c r="J59" s="20" t="n"/>
      <c r="K59" s="7" t="n"/>
      <c r="L59" s="7" t="n"/>
      <c r="M59" s="7" t="n"/>
      <c r="N59" s="7" t="n"/>
      <c r="O59" s="6">
        <f>IF(G59="","",IF(IFERROR(VLOOKUP(G59,Materialen!$A$2:$I$39,4,0),"")="plaat",Instellingen!$B$4,Instellingen!$B$3))</f>
        <v/>
      </c>
      <c r="P59" s="5">
        <f>ROUND(N(H59)*IFERROR(IF(VLOOKUP(G59,Materialen!$A$2:$I$39,9,0)="",0,VLOOKUP(G59,Materialen!$A$2:$I$39,9,0)),0)*(1+N(O59))+N(J59)*IFERROR(IF(VLOOKUP(I59,Materialen!$A$2:$I$39,9,0)="",0,VLOOKUP(I59,Materialen!$A$2:$I$39,9,0)),0)*(1+N(O59))+N(L59)*IFERROR(IF(VLOOKUP(K59,Materialen!$A$2:$I$39,9,0)="",0,VLOOKUP(K59,Materialen!$A$2:$I$39,9,0)),0)+N(N59)*IFERROR(IF(VLOOKUP(M59,Materialen!$A$2:$I$39,9,0)="",0,VLOOKUP(M59,Materialen!$A$2:$I$39,9,0)),0),2)</f>
        <v/>
      </c>
      <c r="Q59" s="5">
        <f>IF(G59="",0,IF(IFERROR(VLOOKUP(G59,Materialen!$A$2:$I$39,5,0),"N")="J",ROUND(N(H59)*(1+N(O59))*Instellingen!$B$8,2),0))</f>
        <v/>
      </c>
      <c r="R59" s="18" t="n"/>
      <c r="S59" s="5">
        <f>ROUND(N(R59)/60*Instellingen!$B$9,2)</f>
        <v/>
      </c>
      <c r="T59" s="14" t="n"/>
      <c r="U59" s="5">
        <f>P59+Q59+S59+N(T59)</f>
        <v/>
      </c>
      <c r="V59" s="5">
        <f>IF(AC59&lt;&gt;"OK","",F59-U59)</f>
        <v/>
      </c>
      <c r="W59" s="6">
        <f>IF(OR(F59=0,AC59&lt;&gt;"OK"),"",V59/F59)</f>
        <v/>
      </c>
      <c r="X59" s="5">
        <f>IF(N(H59)&gt;0,F59/H59,"")</f>
        <v/>
      </c>
      <c r="Y59" s="5">
        <f>IF(N(H59)&gt;0,IFERROR(IF(VLOOKUP(G59,Materialen!$A$2:$I$39,9,0)="",0,VLOOKUP(G59,Materialen!$A$2:$I$39,9,0)),0),"")</f>
        <v/>
      </c>
      <c r="Z59" s="5">
        <f>ROUND(E59*F59,2)</f>
        <v/>
      </c>
      <c r="AA59" s="5">
        <f>IF(AC59&lt;&gt;"OK","",ROUND(E59*U59,2))</f>
        <v/>
      </c>
      <c r="AB59" s="5">
        <f>IF(AC59&lt;&gt;"OK","",Z59-AA59)</f>
        <v/>
      </c>
      <c r="AC59" s="7">
        <f>IF((IF(G59="",0,IF(IFERROR(IF(VLOOKUP(G59,Materialen!$A$2:$I$39,9,0)="",0,VLOOKUP(G59,Materialen!$A$2:$I$39,9,0)),0)=0,1,0))+IF(I59="",0,IF(IFERROR(IF(VLOOKUP(I59,Materialen!$A$2:$I$39,9,0)="",0,VLOOKUP(I59,Materialen!$A$2:$I$39,9,0)),0)=0,1,0))+IF(K59="",0,IF(IFERROR(IF(VLOOKUP(K59,Materialen!$A$2:$I$39,9,0)="",0,VLOOKUP(K59,Materialen!$A$2:$I$39,9,0)),0)=0,1,0))+IF(M59="",0,IF(IFERROR(IF(VLOOKUP(M59,Materialen!$A$2:$I$39,9,0)="",0,VLOOKUP(M59,Materialen!$A$2:$I$39,9,0)),0)=0,1,0)))&gt;0,"aankoopprijs ontbreekt",IF(AND(G59="",K59="",N(T59)=0,N(R59)=0),"kost invullen (arbeid/overig)","OK"))</f>
        <v/>
      </c>
      <c r="AD59" s="7" t="inlineStr"/>
    </row>
    <row r="60">
      <c r="A60" s="7" t="n">
        <v>59</v>
      </c>
      <c r="B60" s="7" t="inlineStr">
        <is>
          <t>Impression noir ou quadrichromie sur carton 2mm</t>
        </is>
      </c>
      <c r="C60" s="7" t="inlineStr">
        <is>
          <t>&gt; 1 m² et &lt;= 2 m²</t>
        </is>
      </c>
      <c r="D60" s="7" t="inlineStr">
        <is>
          <t>m²</t>
        </is>
      </c>
      <c r="E60" s="7" t="n">
        <v>5</v>
      </c>
      <c r="F60" s="5" t="n">
        <v>33</v>
      </c>
      <c r="G60" s="7" t="inlineStr">
        <is>
          <t>M36</t>
        </is>
      </c>
      <c r="H60" s="20" t="n">
        <v>1</v>
      </c>
      <c r="I60" s="7" t="n"/>
      <c r="J60" s="20" t="n"/>
      <c r="K60" s="7" t="n"/>
      <c r="L60" s="7" t="n"/>
      <c r="M60" s="7" t="n"/>
      <c r="N60" s="7" t="n"/>
      <c r="O60" s="6">
        <f>IF(G60="","",IF(IFERROR(VLOOKUP(G60,Materialen!$A$2:$I$39,4,0),"")="plaat",Instellingen!$B$4,Instellingen!$B$3))</f>
        <v/>
      </c>
      <c r="P60" s="5">
        <f>ROUND(N(H60)*IFERROR(IF(VLOOKUP(G60,Materialen!$A$2:$I$39,9,0)="",0,VLOOKUP(G60,Materialen!$A$2:$I$39,9,0)),0)*(1+N(O60))+N(J60)*IFERROR(IF(VLOOKUP(I60,Materialen!$A$2:$I$39,9,0)="",0,VLOOKUP(I60,Materialen!$A$2:$I$39,9,0)),0)*(1+N(O60))+N(L60)*IFERROR(IF(VLOOKUP(K60,Materialen!$A$2:$I$39,9,0)="",0,VLOOKUP(K60,Materialen!$A$2:$I$39,9,0)),0)+N(N60)*IFERROR(IF(VLOOKUP(M60,Materialen!$A$2:$I$39,9,0)="",0,VLOOKUP(M60,Materialen!$A$2:$I$39,9,0)),0),2)</f>
        <v/>
      </c>
      <c r="Q60" s="5">
        <f>IF(G60="",0,IF(IFERROR(VLOOKUP(G60,Materialen!$A$2:$I$39,5,0),"N")="J",ROUND(N(H60)*(1+N(O60))*Instellingen!$B$8,2),0))</f>
        <v/>
      </c>
      <c r="R60" s="18" t="n"/>
      <c r="S60" s="5">
        <f>ROUND(N(R60)/60*Instellingen!$B$9,2)</f>
        <v/>
      </c>
      <c r="T60" s="14" t="n"/>
      <c r="U60" s="5">
        <f>P60+Q60+S60+N(T60)</f>
        <v/>
      </c>
      <c r="V60" s="5">
        <f>IF(AC60&lt;&gt;"OK","",F60-U60)</f>
        <v/>
      </c>
      <c r="W60" s="6">
        <f>IF(OR(F60=0,AC60&lt;&gt;"OK"),"",V60/F60)</f>
        <v/>
      </c>
      <c r="X60" s="5">
        <f>IF(N(H60)&gt;0,F60/H60,"")</f>
        <v/>
      </c>
      <c r="Y60" s="5">
        <f>IF(N(H60)&gt;0,IFERROR(IF(VLOOKUP(G60,Materialen!$A$2:$I$39,9,0)="",0,VLOOKUP(G60,Materialen!$A$2:$I$39,9,0)),0),"")</f>
        <v/>
      </c>
      <c r="Z60" s="5">
        <f>ROUND(E60*F60,2)</f>
        <v/>
      </c>
      <c r="AA60" s="5">
        <f>IF(AC60&lt;&gt;"OK","",ROUND(E60*U60,2))</f>
        <v/>
      </c>
      <c r="AB60" s="5">
        <f>IF(AC60&lt;&gt;"OK","",Z60-AA60)</f>
        <v/>
      </c>
      <c r="AC60" s="7">
        <f>IF((IF(G60="",0,IF(IFERROR(IF(VLOOKUP(G60,Materialen!$A$2:$I$39,9,0)="",0,VLOOKUP(G60,Materialen!$A$2:$I$39,9,0)),0)=0,1,0))+IF(I60="",0,IF(IFERROR(IF(VLOOKUP(I60,Materialen!$A$2:$I$39,9,0)="",0,VLOOKUP(I60,Materialen!$A$2:$I$39,9,0)),0)=0,1,0))+IF(K60="",0,IF(IFERROR(IF(VLOOKUP(K60,Materialen!$A$2:$I$39,9,0)="",0,VLOOKUP(K60,Materialen!$A$2:$I$39,9,0)),0)=0,1,0))+IF(M60="",0,IF(IFERROR(IF(VLOOKUP(M60,Materialen!$A$2:$I$39,9,0)="",0,VLOOKUP(M60,Materialen!$A$2:$I$39,9,0)),0)=0,1,0)))&gt;0,"aankoopprijs ontbreekt",IF(AND(G60="",K60="",N(T60)=0,N(R60)=0),"kost invullen (arbeid/overig)","OK"))</f>
        <v/>
      </c>
      <c r="AD60" s="7" t="inlineStr"/>
    </row>
    <row r="61">
      <c r="A61" s="7" t="n">
        <v>60</v>
      </c>
      <c r="B61" s="7" t="inlineStr">
        <is>
          <t>Impression noir ou quadrichromie sur carton 2mm</t>
        </is>
      </c>
      <c r="C61" s="7" t="inlineStr">
        <is>
          <t>&gt; 2 m² et &lt;= 5 m²</t>
        </is>
      </c>
      <c r="D61" s="7" t="inlineStr">
        <is>
          <t>m²</t>
        </is>
      </c>
      <c r="E61" s="7" t="n">
        <v>5</v>
      </c>
      <c r="F61" s="5" t="n">
        <v>29</v>
      </c>
      <c r="G61" s="7" t="inlineStr">
        <is>
          <t>M36</t>
        </is>
      </c>
      <c r="H61" s="20" t="n">
        <v>1</v>
      </c>
      <c r="I61" s="7" t="n"/>
      <c r="J61" s="20" t="n"/>
      <c r="K61" s="7" t="n"/>
      <c r="L61" s="7" t="n"/>
      <c r="M61" s="7" t="n"/>
      <c r="N61" s="7" t="n"/>
      <c r="O61" s="6">
        <f>IF(G61="","",IF(IFERROR(VLOOKUP(G61,Materialen!$A$2:$I$39,4,0),"")="plaat",Instellingen!$B$4,Instellingen!$B$3))</f>
        <v/>
      </c>
      <c r="P61" s="5">
        <f>ROUND(N(H61)*IFERROR(IF(VLOOKUP(G61,Materialen!$A$2:$I$39,9,0)="",0,VLOOKUP(G61,Materialen!$A$2:$I$39,9,0)),0)*(1+N(O61))+N(J61)*IFERROR(IF(VLOOKUP(I61,Materialen!$A$2:$I$39,9,0)="",0,VLOOKUP(I61,Materialen!$A$2:$I$39,9,0)),0)*(1+N(O61))+N(L61)*IFERROR(IF(VLOOKUP(K61,Materialen!$A$2:$I$39,9,0)="",0,VLOOKUP(K61,Materialen!$A$2:$I$39,9,0)),0)+N(N61)*IFERROR(IF(VLOOKUP(M61,Materialen!$A$2:$I$39,9,0)="",0,VLOOKUP(M61,Materialen!$A$2:$I$39,9,0)),0),2)</f>
        <v/>
      </c>
      <c r="Q61" s="5">
        <f>IF(G61="",0,IF(IFERROR(VLOOKUP(G61,Materialen!$A$2:$I$39,5,0),"N")="J",ROUND(N(H61)*(1+N(O61))*Instellingen!$B$8,2),0))</f>
        <v/>
      </c>
      <c r="R61" s="18" t="n"/>
      <c r="S61" s="5">
        <f>ROUND(N(R61)/60*Instellingen!$B$9,2)</f>
        <v/>
      </c>
      <c r="T61" s="14" t="n"/>
      <c r="U61" s="5">
        <f>P61+Q61+S61+N(T61)</f>
        <v/>
      </c>
      <c r="V61" s="5">
        <f>IF(AC61&lt;&gt;"OK","",F61-U61)</f>
        <v/>
      </c>
      <c r="W61" s="6">
        <f>IF(OR(F61=0,AC61&lt;&gt;"OK"),"",V61/F61)</f>
        <v/>
      </c>
      <c r="X61" s="5">
        <f>IF(N(H61)&gt;0,F61/H61,"")</f>
        <v/>
      </c>
      <c r="Y61" s="5">
        <f>IF(N(H61)&gt;0,IFERROR(IF(VLOOKUP(G61,Materialen!$A$2:$I$39,9,0)="",0,VLOOKUP(G61,Materialen!$A$2:$I$39,9,0)),0),"")</f>
        <v/>
      </c>
      <c r="Z61" s="5">
        <f>ROUND(E61*F61,2)</f>
        <v/>
      </c>
      <c r="AA61" s="5">
        <f>IF(AC61&lt;&gt;"OK","",ROUND(E61*U61,2))</f>
        <v/>
      </c>
      <c r="AB61" s="5">
        <f>IF(AC61&lt;&gt;"OK","",Z61-AA61)</f>
        <v/>
      </c>
      <c r="AC61" s="7">
        <f>IF((IF(G61="",0,IF(IFERROR(IF(VLOOKUP(G61,Materialen!$A$2:$I$39,9,0)="",0,VLOOKUP(G61,Materialen!$A$2:$I$39,9,0)),0)=0,1,0))+IF(I61="",0,IF(IFERROR(IF(VLOOKUP(I61,Materialen!$A$2:$I$39,9,0)="",0,VLOOKUP(I61,Materialen!$A$2:$I$39,9,0)),0)=0,1,0))+IF(K61="",0,IF(IFERROR(IF(VLOOKUP(K61,Materialen!$A$2:$I$39,9,0)="",0,VLOOKUP(K61,Materialen!$A$2:$I$39,9,0)),0)=0,1,0))+IF(M61="",0,IF(IFERROR(IF(VLOOKUP(M61,Materialen!$A$2:$I$39,9,0)="",0,VLOOKUP(M61,Materialen!$A$2:$I$39,9,0)),0)=0,1,0)))&gt;0,"aankoopprijs ontbreekt",IF(AND(G61="",K61="",N(T61)=0,N(R61)=0),"kost invullen (arbeid/overig)","OK"))</f>
        <v/>
      </c>
      <c r="AD61" s="7" t="inlineStr"/>
    </row>
    <row r="62">
      <c r="A62" s="7" t="n">
        <v>61</v>
      </c>
      <c r="B62" s="7" t="inlineStr">
        <is>
          <t>Impression noir ou quadrichromie sur carton 2mm</t>
        </is>
      </c>
      <c r="C62" s="7" t="inlineStr">
        <is>
          <t>&gt; 5 m² et &lt;= 10 m²</t>
        </is>
      </c>
      <c r="D62" s="7" t="inlineStr">
        <is>
          <t>m²</t>
        </is>
      </c>
      <c r="E62" s="7" t="n">
        <v>5</v>
      </c>
      <c r="F62" s="5" t="n">
        <v>26</v>
      </c>
      <c r="G62" s="7" t="inlineStr">
        <is>
          <t>M36</t>
        </is>
      </c>
      <c r="H62" s="20" t="n">
        <v>1</v>
      </c>
      <c r="I62" s="7" t="n"/>
      <c r="J62" s="20" t="n"/>
      <c r="K62" s="7" t="n"/>
      <c r="L62" s="7" t="n"/>
      <c r="M62" s="7" t="n"/>
      <c r="N62" s="7" t="n"/>
      <c r="O62" s="6">
        <f>IF(G62="","",IF(IFERROR(VLOOKUP(G62,Materialen!$A$2:$I$39,4,0),"")="plaat",Instellingen!$B$4,Instellingen!$B$3))</f>
        <v/>
      </c>
      <c r="P62" s="5">
        <f>ROUND(N(H62)*IFERROR(IF(VLOOKUP(G62,Materialen!$A$2:$I$39,9,0)="",0,VLOOKUP(G62,Materialen!$A$2:$I$39,9,0)),0)*(1+N(O62))+N(J62)*IFERROR(IF(VLOOKUP(I62,Materialen!$A$2:$I$39,9,0)="",0,VLOOKUP(I62,Materialen!$A$2:$I$39,9,0)),0)*(1+N(O62))+N(L62)*IFERROR(IF(VLOOKUP(K62,Materialen!$A$2:$I$39,9,0)="",0,VLOOKUP(K62,Materialen!$A$2:$I$39,9,0)),0)+N(N62)*IFERROR(IF(VLOOKUP(M62,Materialen!$A$2:$I$39,9,0)="",0,VLOOKUP(M62,Materialen!$A$2:$I$39,9,0)),0),2)</f>
        <v/>
      </c>
      <c r="Q62" s="5">
        <f>IF(G62="",0,IF(IFERROR(VLOOKUP(G62,Materialen!$A$2:$I$39,5,0),"N")="J",ROUND(N(H62)*(1+N(O62))*Instellingen!$B$8,2),0))</f>
        <v/>
      </c>
      <c r="R62" s="18" t="n"/>
      <c r="S62" s="5">
        <f>ROUND(N(R62)/60*Instellingen!$B$9,2)</f>
        <v/>
      </c>
      <c r="T62" s="14" t="n"/>
      <c r="U62" s="5">
        <f>P62+Q62+S62+N(T62)</f>
        <v/>
      </c>
      <c r="V62" s="5">
        <f>IF(AC62&lt;&gt;"OK","",F62-U62)</f>
        <v/>
      </c>
      <c r="W62" s="6">
        <f>IF(OR(F62=0,AC62&lt;&gt;"OK"),"",V62/F62)</f>
        <v/>
      </c>
      <c r="X62" s="5">
        <f>IF(N(H62)&gt;0,F62/H62,"")</f>
        <v/>
      </c>
      <c r="Y62" s="5">
        <f>IF(N(H62)&gt;0,IFERROR(IF(VLOOKUP(G62,Materialen!$A$2:$I$39,9,0)="",0,VLOOKUP(G62,Materialen!$A$2:$I$39,9,0)),0),"")</f>
        <v/>
      </c>
      <c r="Z62" s="5">
        <f>ROUND(E62*F62,2)</f>
        <v/>
      </c>
      <c r="AA62" s="5">
        <f>IF(AC62&lt;&gt;"OK","",ROUND(E62*U62,2))</f>
        <v/>
      </c>
      <c r="AB62" s="5">
        <f>IF(AC62&lt;&gt;"OK","",Z62-AA62)</f>
        <v/>
      </c>
      <c r="AC62" s="7">
        <f>IF((IF(G62="",0,IF(IFERROR(IF(VLOOKUP(G62,Materialen!$A$2:$I$39,9,0)="",0,VLOOKUP(G62,Materialen!$A$2:$I$39,9,0)),0)=0,1,0))+IF(I62="",0,IF(IFERROR(IF(VLOOKUP(I62,Materialen!$A$2:$I$39,9,0)="",0,VLOOKUP(I62,Materialen!$A$2:$I$39,9,0)),0)=0,1,0))+IF(K62="",0,IF(IFERROR(IF(VLOOKUP(K62,Materialen!$A$2:$I$39,9,0)="",0,VLOOKUP(K62,Materialen!$A$2:$I$39,9,0)),0)=0,1,0))+IF(M62="",0,IF(IFERROR(IF(VLOOKUP(M62,Materialen!$A$2:$I$39,9,0)="",0,VLOOKUP(M62,Materialen!$A$2:$I$39,9,0)),0)=0,1,0)))&gt;0,"aankoopprijs ontbreekt",IF(AND(G62="",K62="",N(T62)=0,N(R62)=0),"kost invullen (arbeid/overig)","OK"))</f>
        <v/>
      </c>
      <c r="AD62" s="7" t="inlineStr"/>
    </row>
    <row r="63">
      <c r="A63" s="7" t="n">
        <v>62</v>
      </c>
      <c r="B63" s="7" t="inlineStr">
        <is>
          <t>Impression noir ou quadrichromie sur carton 2mm</t>
        </is>
      </c>
      <c r="C63" s="7" t="inlineStr">
        <is>
          <t>&gt; 10 m² et &lt;= 25 m²</t>
        </is>
      </c>
      <c r="D63" s="7" t="inlineStr">
        <is>
          <t>m²</t>
        </is>
      </c>
      <c r="E63" s="7" t="n">
        <v>5</v>
      </c>
      <c r="F63" s="5" t="n">
        <v>23</v>
      </c>
      <c r="G63" s="7" t="inlineStr">
        <is>
          <t>M36</t>
        </is>
      </c>
      <c r="H63" s="20" t="n">
        <v>1</v>
      </c>
      <c r="I63" s="7" t="n"/>
      <c r="J63" s="20" t="n"/>
      <c r="K63" s="7" t="n"/>
      <c r="L63" s="7" t="n"/>
      <c r="M63" s="7" t="n"/>
      <c r="N63" s="7" t="n"/>
      <c r="O63" s="6">
        <f>IF(G63="","",IF(IFERROR(VLOOKUP(G63,Materialen!$A$2:$I$39,4,0),"")="plaat",Instellingen!$B$4,Instellingen!$B$3))</f>
        <v/>
      </c>
      <c r="P63" s="5">
        <f>ROUND(N(H63)*IFERROR(IF(VLOOKUP(G63,Materialen!$A$2:$I$39,9,0)="",0,VLOOKUP(G63,Materialen!$A$2:$I$39,9,0)),0)*(1+N(O63))+N(J63)*IFERROR(IF(VLOOKUP(I63,Materialen!$A$2:$I$39,9,0)="",0,VLOOKUP(I63,Materialen!$A$2:$I$39,9,0)),0)*(1+N(O63))+N(L63)*IFERROR(IF(VLOOKUP(K63,Materialen!$A$2:$I$39,9,0)="",0,VLOOKUP(K63,Materialen!$A$2:$I$39,9,0)),0)+N(N63)*IFERROR(IF(VLOOKUP(M63,Materialen!$A$2:$I$39,9,0)="",0,VLOOKUP(M63,Materialen!$A$2:$I$39,9,0)),0),2)</f>
        <v/>
      </c>
      <c r="Q63" s="5">
        <f>IF(G63="",0,IF(IFERROR(VLOOKUP(G63,Materialen!$A$2:$I$39,5,0),"N")="J",ROUND(N(H63)*(1+N(O63))*Instellingen!$B$8,2),0))</f>
        <v/>
      </c>
      <c r="R63" s="18" t="n"/>
      <c r="S63" s="5">
        <f>ROUND(N(R63)/60*Instellingen!$B$9,2)</f>
        <v/>
      </c>
      <c r="T63" s="14" t="n"/>
      <c r="U63" s="5">
        <f>P63+Q63+S63+N(T63)</f>
        <v/>
      </c>
      <c r="V63" s="5">
        <f>IF(AC63&lt;&gt;"OK","",F63-U63)</f>
        <v/>
      </c>
      <c r="W63" s="6">
        <f>IF(OR(F63=0,AC63&lt;&gt;"OK"),"",V63/F63)</f>
        <v/>
      </c>
      <c r="X63" s="5">
        <f>IF(N(H63)&gt;0,F63/H63,"")</f>
        <v/>
      </c>
      <c r="Y63" s="5">
        <f>IF(N(H63)&gt;0,IFERROR(IF(VLOOKUP(G63,Materialen!$A$2:$I$39,9,0)="",0,VLOOKUP(G63,Materialen!$A$2:$I$39,9,0)),0),"")</f>
        <v/>
      </c>
      <c r="Z63" s="5">
        <f>ROUND(E63*F63,2)</f>
        <v/>
      </c>
      <c r="AA63" s="5">
        <f>IF(AC63&lt;&gt;"OK","",ROUND(E63*U63,2))</f>
        <v/>
      </c>
      <c r="AB63" s="5">
        <f>IF(AC63&lt;&gt;"OK","",Z63-AA63)</f>
        <v/>
      </c>
      <c r="AC63" s="7">
        <f>IF((IF(G63="",0,IF(IFERROR(IF(VLOOKUP(G63,Materialen!$A$2:$I$39,9,0)="",0,VLOOKUP(G63,Materialen!$A$2:$I$39,9,0)),0)=0,1,0))+IF(I63="",0,IF(IFERROR(IF(VLOOKUP(I63,Materialen!$A$2:$I$39,9,0)="",0,VLOOKUP(I63,Materialen!$A$2:$I$39,9,0)),0)=0,1,0))+IF(K63="",0,IF(IFERROR(IF(VLOOKUP(K63,Materialen!$A$2:$I$39,9,0)="",0,VLOOKUP(K63,Materialen!$A$2:$I$39,9,0)),0)=0,1,0))+IF(M63="",0,IF(IFERROR(IF(VLOOKUP(M63,Materialen!$A$2:$I$39,9,0)="",0,VLOOKUP(M63,Materialen!$A$2:$I$39,9,0)),0)=0,1,0)))&gt;0,"aankoopprijs ontbreekt",IF(AND(G63="",K63="",N(T63)=0,N(R63)=0),"kost invullen (arbeid/overig)","OK"))</f>
        <v/>
      </c>
      <c r="AD63" s="7" t="inlineStr"/>
    </row>
    <row r="64">
      <c r="A64" s="7" t="n">
        <v>63</v>
      </c>
      <c r="B64" s="7" t="inlineStr">
        <is>
          <t>Impression noir ou quadrichromie sur carton 2mm</t>
        </is>
      </c>
      <c r="C64" s="7" t="inlineStr">
        <is>
          <t>&gt; 25 m²</t>
        </is>
      </c>
      <c r="D64" s="7" t="inlineStr">
        <is>
          <t>m²</t>
        </is>
      </c>
      <c r="E64" s="7" t="n">
        <v>5</v>
      </c>
      <c r="F64" s="5" t="n">
        <v>21</v>
      </c>
      <c r="G64" s="7" t="inlineStr">
        <is>
          <t>M36</t>
        </is>
      </c>
      <c r="H64" s="20" t="n">
        <v>1</v>
      </c>
      <c r="I64" s="7" t="n"/>
      <c r="J64" s="20" t="n"/>
      <c r="K64" s="7" t="n"/>
      <c r="L64" s="7" t="n"/>
      <c r="M64" s="7" t="n"/>
      <c r="N64" s="7" t="n"/>
      <c r="O64" s="6">
        <f>IF(G64="","",IF(IFERROR(VLOOKUP(G64,Materialen!$A$2:$I$39,4,0),"")="plaat",Instellingen!$B$4,Instellingen!$B$3))</f>
        <v/>
      </c>
      <c r="P64" s="5">
        <f>ROUND(N(H64)*IFERROR(IF(VLOOKUP(G64,Materialen!$A$2:$I$39,9,0)="",0,VLOOKUP(G64,Materialen!$A$2:$I$39,9,0)),0)*(1+N(O64))+N(J64)*IFERROR(IF(VLOOKUP(I64,Materialen!$A$2:$I$39,9,0)="",0,VLOOKUP(I64,Materialen!$A$2:$I$39,9,0)),0)*(1+N(O64))+N(L64)*IFERROR(IF(VLOOKUP(K64,Materialen!$A$2:$I$39,9,0)="",0,VLOOKUP(K64,Materialen!$A$2:$I$39,9,0)),0)+N(N64)*IFERROR(IF(VLOOKUP(M64,Materialen!$A$2:$I$39,9,0)="",0,VLOOKUP(M64,Materialen!$A$2:$I$39,9,0)),0),2)</f>
        <v/>
      </c>
      <c r="Q64" s="5">
        <f>IF(G64="",0,IF(IFERROR(VLOOKUP(G64,Materialen!$A$2:$I$39,5,0),"N")="J",ROUND(N(H64)*(1+N(O64))*Instellingen!$B$8,2),0))</f>
        <v/>
      </c>
      <c r="R64" s="18" t="n"/>
      <c r="S64" s="5">
        <f>ROUND(N(R64)/60*Instellingen!$B$9,2)</f>
        <v/>
      </c>
      <c r="T64" s="14" t="n"/>
      <c r="U64" s="5">
        <f>P64+Q64+S64+N(T64)</f>
        <v/>
      </c>
      <c r="V64" s="5">
        <f>IF(AC64&lt;&gt;"OK","",F64-U64)</f>
        <v/>
      </c>
      <c r="W64" s="6">
        <f>IF(OR(F64=0,AC64&lt;&gt;"OK"),"",V64/F64)</f>
        <v/>
      </c>
      <c r="X64" s="5">
        <f>IF(N(H64)&gt;0,F64/H64,"")</f>
        <v/>
      </c>
      <c r="Y64" s="5">
        <f>IF(N(H64)&gt;0,IFERROR(IF(VLOOKUP(G64,Materialen!$A$2:$I$39,9,0)="",0,VLOOKUP(G64,Materialen!$A$2:$I$39,9,0)),0),"")</f>
        <v/>
      </c>
      <c r="Z64" s="5">
        <f>ROUND(E64*F64,2)</f>
        <v/>
      </c>
      <c r="AA64" s="5">
        <f>IF(AC64&lt;&gt;"OK","",ROUND(E64*U64,2))</f>
        <v/>
      </c>
      <c r="AB64" s="5">
        <f>IF(AC64&lt;&gt;"OK","",Z64-AA64)</f>
        <v/>
      </c>
      <c r="AC64" s="7">
        <f>IF((IF(G64="",0,IF(IFERROR(IF(VLOOKUP(G64,Materialen!$A$2:$I$39,9,0)="",0,VLOOKUP(G64,Materialen!$A$2:$I$39,9,0)),0)=0,1,0))+IF(I64="",0,IF(IFERROR(IF(VLOOKUP(I64,Materialen!$A$2:$I$39,9,0)="",0,VLOOKUP(I64,Materialen!$A$2:$I$39,9,0)),0)=0,1,0))+IF(K64="",0,IF(IFERROR(IF(VLOOKUP(K64,Materialen!$A$2:$I$39,9,0)="",0,VLOOKUP(K64,Materialen!$A$2:$I$39,9,0)),0)=0,1,0))+IF(M64="",0,IF(IFERROR(IF(VLOOKUP(M64,Materialen!$A$2:$I$39,9,0)="",0,VLOOKUP(M64,Materialen!$A$2:$I$39,9,0)),0)=0,1,0)))&gt;0,"aankoopprijs ontbreekt",IF(AND(G64="",K64="",N(T64)=0,N(R64)=0),"kost invullen (arbeid/overig)","OK"))</f>
        <v/>
      </c>
      <c r="AD64" s="7" t="inlineStr"/>
    </row>
    <row r="65">
      <c r="A65" s="7" t="n">
        <v>64</v>
      </c>
      <c r="B65" s="7" t="inlineStr">
        <is>
          <t>Impression noir ou quadrichromie sur carton 1mm</t>
        </is>
      </c>
      <c r="C65" s="7" t="inlineStr">
        <is>
          <t>10 cartels</t>
        </is>
      </c>
      <c r="D65" s="7" t="inlineStr">
        <is>
          <t>10 cartels</t>
        </is>
      </c>
      <c r="E65" s="7" t="n">
        <v>5</v>
      </c>
      <c r="F65" s="5" t="n">
        <v>22</v>
      </c>
      <c r="G65" s="7" t="inlineStr">
        <is>
          <t>M37</t>
        </is>
      </c>
      <c r="H65" s="20" t="n">
        <v>0.3108</v>
      </c>
      <c r="I65" s="7" t="n"/>
      <c r="J65" s="20" t="n"/>
      <c r="K65" s="7" t="n"/>
      <c r="L65" s="7" t="n"/>
      <c r="M65" s="7" t="n"/>
      <c r="N65" s="7" t="n"/>
      <c r="O65" s="6">
        <f>IF(G65="","",IF(IFERROR(VLOOKUP(G65,Materialen!$A$2:$I$39,4,0),"")="plaat",Instellingen!$B$4,Instellingen!$B$3))</f>
        <v/>
      </c>
      <c r="P65" s="5">
        <f>ROUND(N(H65)*IFERROR(IF(VLOOKUP(G65,Materialen!$A$2:$I$39,9,0)="",0,VLOOKUP(G65,Materialen!$A$2:$I$39,9,0)),0)*(1+N(O65))+N(J65)*IFERROR(IF(VLOOKUP(I65,Materialen!$A$2:$I$39,9,0)="",0,VLOOKUP(I65,Materialen!$A$2:$I$39,9,0)),0)*(1+N(O65))+N(L65)*IFERROR(IF(VLOOKUP(K65,Materialen!$A$2:$I$39,9,0)="",0,VLOOKUP(K65,Materialen!$A$2:$I$39,9,0)),0)+N(N65)*IFERROR(IF(VLOOKUP(M65,Materialen!$A$2:$I$39,9,0)="",0,VLOOKUP(M65,Materialen!$A$2:$I$39,9,0)),0),2)</f>
        <v/>
      </c>
      <c r="Q65" s="5">
        <f>IF(G65="",0,IF(IFERROR(VLOOKUP(G65,Materialen!$A$2:$I$39,5,0),"N")="J",ROUND(N(H65)*(1+N(O65))*Instellingen!$B$8,2),0))</f>
        <v/>
      </c>
      <c r="R65" s="18" t="n"/>
      <c r="S65" s="5">
        <f>ROUND(N(R65)/60*Instellingen!$B$9,2)</f>
        <v/>
      </c>
      <c r="T65" s="14" t="n"/>
      <c r="U65" s="5">
        <f>P65+Q65+S65+N(T65)</f>
        <v/>
      </c>
      <c r="V65" s="5">
        <f>IF(AC65&lt;&gt;"OK","",F65-U65)</f>
        <v/>
      </c>
      <c r="W65" s="6">
        <f>IF(OR(F65=0,AC65&lt;&gt;"OK"),"",V65/F65)</f>
        <v/>
      </c>
      <c r="X65" s="5">
        <f>IF(N(H65)&gt;0,F65/H65,"")</f>
        <v/>
      </c>
      <c r="Y65" s="5">
        <f>IF(N(H65)&gt;0,IFERROR(IF(VLOOKUP(G65,Materialen!$A$2:$I$39,9,0)="",0,VLOOKUP(G65,Materialen!$A$2:$I$39,9,0)),0),"")</f>
        <v/>
      </c>
      <c r="Z65" s="5">
        <f>ROUND(E65*F65,2)</f>
        <v/>
      </c>
      <c r="AA65" s="5">
        <f>IF(AC65&lt;&gt;"OK","",ROUND(E65*U65,2))</f>
        <v/>
      </c>
      <c r="AB65" s="5">
        <f>IF(AC65&lt;&gt;"OK","",Z65-AA65)</f>
        <v/>
      </c>
      <c r="AC65" s="7">
        <f>IF((IF(G65="",0,IF(IFERROR(IF(VLOOKUP(G65,Materialen!$A$2:$I$39,9,0)="",0,VLOOKUP(G65,Materialen!$A$2:$I$39,9,0)),0)=0,1,0))+IF(I65="",0,IF(IFERROR(IF(VLOOKUP(I65,Materialen!$A$2:$I$39,9,0)="",0,VLOOKUP(I65,Materialen!$A$2:$I$39,9,0)),0)=0,1,0))+IF(K65="",0,IF(IFERROR(IF(VLOOKUP(K65,Materialen!$A$2:$I$39,9,0)="",0,VLOOKUP(K65,Materialen!$A$2:$I$39,9,0)),0)=0,1,0))+IF(M65="",0,IF(IFERROR(IF(VLOOKUP(M65,Materialen!$A$2:$I$39,9,0)="",0,VLOOKUP(M65,Materialen!$A$2:$I$39,9,0)),0)=0,1,0)))&gt;0,"aankoopprijs ontbreekt",IF(AND(G65="",K65="",N(T65)=0,N(R65)=0),"kost invullen (arbeid/overig)","OK"))</f>
        <v/>
      </c>
      <c r="AD65" s="7" t="inlineStr">
        <is>
          <t>10 x A5</t>
        </is>
      </c>
    </row>
    <row r="66">
      <c r="A66" s="7" t="n">
        <v>65</v>
      </c>
      <c r="B66" s="7" t="inlineStr">
        <is>
          <t>Impression noir ou quadrichromie sur carton 1mm</t>
        </is>
      </c>
      <c r="C66" s="7" t="inlineStr">
        <is>
          <t>25 cartels</t>
        </is>
      </c>
      <c r="D66" s="7" t="inlineStr">
        <is>
          <t>25 cartels</t>
        </is>
      </c>
      <c r="E66" s="7" t="n">
        <v>5</v>
      </c>
      <c r="F66" s="5" t="n">
        <v>45</v>
      </c>
      <c r="G66" s="7" t="inlineStr">
        <is>
          <t>M37</t>
        </is>
      </c>
      <c r="H66" s="20" t="n">
        <v>0.777</v>
      </c>
      <c r="I66" s="7" t="n"/>
      <c r="J66" s="20" t="n"/>
      <c r="K66" s="7" t="n"/>
      <c r="L66" s="7" t="n"/>
      <c r="M66" s="7" t="n"/>
      <c r="N66" s="7" t="n"/>
      <c r="O66" s="6">
        <f>IF(G66="","",IF(IFERROR(VLOOKUP(G66,Materialen!$A$2:$I$39,4,0),"")="plaat",Instellingen!$B$4,Instellingen!$B$3))</f>
        <v/>
      </c>
      <c r="P66" s="5">
        <f>ROUND(N(H66)*IFERROR(IF(VLOOKUP(G66,Materialen!$A$2:$I$39,9,0)="",0,VLOOKUP(G66,Materialen!$A$2:$I$39,9,0)),0)*(1+N(O66))+N(J66)*IFERROR(IF(VLOOKUP(I66,Materialen!$A$2:$I$39,9,0)="",0,VLOOKUP(I66,Materialen!$A$2:$I$39,9,0)),0)*(1+N(O66))+N(L66)*IFERROR(IF(VLOOKUP(K66,Materialen!$A$2:$I$39,9,0)="",0,VLOOKUP(K66,Materialen!$A$2:$I$39,9,0)),0)+N(N66)*IFERROR(IF(VLOOKUP(M66,Materialen!$A$2:$I$39,9,0)="",0,VLOOKUP(M66,Materialen!$A$2:$I$39,9,0)),0),2)</f>
        <v/>
      </c>
      <c r="Q66" s="5">
        <f>IF(G66="",0,IF(IFERROR(VLOOKUP(G66,Materialen!$A$2:$I$39,5,0),"N")="J",ROUND(N(H66)*(1+N(O66))*Instellingen!$B$8,2),0))</f>
        <v/>
      </c>
      <c r="R66" s="18" t="n"/>
      <c r="S66" s="5">
        <f>ROUND(N(R66)/60*Instellingen!$B$9,2)</f>
        <v/>
      </c>
      <c r="T66" s="14" t="n"/>
      <c r="U66" s="5">
        <f>P66+Q66+S66+N(T66)</f>
        <v/>
      </c>
      <c r="V66" s="5">
        <f>IF(AC66&lt;&gt;"OK","",F66-U66)</f>
        <v/>
      </c>
      <c r="W66" s="6">
        <f>IF(OR(F66=0,AC66&lt;&gt;"OK"),"",V66/F66)</f>
        <v/>
      </c>
      <c r="X66" s="5">
        <f>IF(N(H66)&gt;0,F66/H66,"")</f>
        <v/>
      </c>
      <c r="Y66" s="5">
        <f>IF(N(H66)&gt;0,IFERROR(IF(VLOOKUP(G66,Materialen!$A$2:$I$39,9,0)="",0,VLOOKUP(G66,Materialen!$A$2:$I$39,9,0)),0),"")</f>
        <v/>
      </c>
      <c r="Z66" s="5">
        <f>ROUND(E66*F66,2)</f>
        <v/>
      </c>
      <c r="AA66" s="5">
        <f>IF(AC66&lt;&gt;"OK","",ROUND(E66*U66,2))</f>
        <v/>
      </c>
      <c r="AB66" s="5">
        <f>IF(AC66&lt;&gt;"OK","",Z66-AA66)</f>
        <v/>
      </c>
      <c r="AC66" s="7">
        <f>IF((IF(G66="",0,IF(IFERROR(IF(VLOOKUP(G66,Materialen!$A$2:$I$39,9,0)="",0,VLOOKUP(G66,Materialen!$A$2:$I$39,9,0)),0)=0,1,0))+IF(I66="",0,IF(IFERROR(IF(VLOOKUP(I66,Materialen!$A$2:$I$39,9,0)="",0,VLOOKUP(I66,Materialen!$A$2:$I$39,9,0)),0)=0,1,0))+IF(K66="",0,IF(IFERROR(IF(VLOOKUP(K66,Materialen!$A$2:$I$39,9,0)="",0,VLOOKUP(K66,Materialen!$A$2:$I$39,9,0)),0)=0,1,0))+IF(M66="",0,IF(IFERROR(IF(VLOOKUP(M66,Materialen!$A$2:$I$39,9,0)="",0,VLOOKUP(M66,Materialen!$A$2:$I$39,9,0)),0)=0,1,0)))&gt;0,"aankoopprijs ontbreekt",IF(AND(G66="",K66="",N(T66)=0,N(R66)=0),"kost invullen (arbeid/overig)","OK"))</f>
        <v/>
      </c>
      <c r="AD66" s="7" t="inlineStr">
        <is>
          <t>25 x A5</t>
        </is>
      </c>
    </row>
    <row r="67">
      <c r="A67" s="7" t="n">
        <v>66</v>
      </c>
      <c r="B67" s="7" t="inlineStr">
        <is>
          <t>Impression noir ou quadrichromie sur carton 1mm</t>
        </is>
      </c>
      <c r="C67" s="7" t="inlineStr">
        <is>
          <t>50 cartels</t>
        </is>
      </c>
      <c r="D67" s="7" t="inlineStr">
        <is>
          <t>50 cartels</t>
        </is>
      </c>
      <c r="E67" s="7" t="n">
        <v>5</v>
      </c>
      <c r="F67" s="5" t="n">
        <v>75</v>
      </c>
      <c r="G67" s="7" t="inlineStr">
        <is>
          <t>M37</t>
        </is>
      </c>
      <c r="H67" s="20" t="n">
        <v>1.554</v>
      </c>
      <c r="I67" s="7" t="n"/>
      <c r="J67" s="20" t="n"/>
      <c r="K67" s="7" t="n"/>
      <c r="L67" s="7" t="n"/>
      <c r="M67" s="7" t="n"/>
      <c r="N67" s="7" t="n"/>
      <c r="O67" s="6">
        <f>IF(G67="","",IF(IFERROR(VLOOKUP(G67,Materialen!$A$2:$I$39,4,0),"")="plaat",Instellingen!$B$4,Instellingen!$B$3))</f>
        <v/>
      </c>
      <c r="P67" s="5">
        <f>ROUND(N(H67)*IFERROR(IF(VLOOKUP(G67,Materialen!$A$2:$I$39,9,0)="",0,VLOOKUP(G67,Materialen!$A$2:$I$39,9,0)),0)*(1+N(O67))+N(J67)*IFERROR(IF(VLOOKUP(I67,Materialen!$A$2:$I$39,9,0)="",0,VLOOKUP(I67,Materialen!$A$2:$I$39,9,0)),0)*(1+N(O67))+N(L67)*IFERROR(IF(VLOOKUP(K67,Materialen!$A$2:$I$39,9,0)="",0,VLOOKUP(K67,Materialen!$A$2:$I$39,9,0)),0)+N(N67)*IFERROR(IF(VLOOKUP(M67,Materialen!$A$2:$I$39,9,0)="",0,VLOOKUP(M67,Materialen!$A$2:$I$39,9,0)),0),2)</f>
        <v/>
      </c>
      <c r="Q67" s="5">
        <f>IF(G67="",0,IF(IFERROR(VLOOKUP(G67,Materialen!$A$2:$I$39,5,0),"N")="J",ROUND(N(H67)*(1+N(O67))*Instellingen!$B$8,2),0))</f>
        <v/>
      </c>
      <c r="R67" s="18" t="n"/>
      <c r="S67" s="5">
        <f>ROUND(N(R67)/60*Instellingen!$B$9,2)</f>
        <v/>
      </c>
      <c r="T67" s="14" t="n"/>
      <c r="U67" s="5">
        <f>P67+Q67+S67+N(T67)</f>
        <v/>
      </c>
      <c r="V67" s="5">
        <f>IF(AC67&lt;&gt;"OK","",F67-U67)</f>
        <v/>
      </c>
      <c r="W67" s="6">
        <f>IF(OR(F67=0,AC67&lt;&gt;"OK"),"",V67/F67)</f>
        <v/>
      </c>
      <c r="X67" s="5">
        <f>IF(N(H67)&gt;0,F67/H67,"")</f>
        <v/>
      </c>
      <c r="Y67" s="5">
        <f>IF(N(H67)&gt;0,IFERROR(IF(VLOOKUP(G67,Materialen!$A$2:$I$39,9,0)="",0,VLOOKUP(G67,Materialen!$A$2:$I$39,9,0)),0),"")</f>
        <v/>
      </c>
      <c r="Z67" s="5">
        <f>ROUND(E67*F67,2)</f>
        <v/>
      </c>
      <c r="AA67" s="5">
        <f>IF(AC67&lt;&gt;"OK","",ROUND(E67*U67,2))</f>
        <v/>
      </c>
      <c r="AB67" s="5">
        <f>IF(AC67&lt;&gt;"OK","",Z67-AA67)</f>
        <v/>
      </c>
      <c r="AC67" s="7">
        <f>IF((IF(G67="",0,IF(IFERROR(IF(VLOOKUP(G67,Materialen!$A$2:$I$39,9,0)="",0,VLOOKUP(G67,Materialen!$A$2:$I$39,9,0)),0)=0,1,0))+IF(I67="",0,IF(IFERROR(IF(VLOOKUP(I67,Materialen!$A$2:$I$39,9,0)="",0,VLOOKUP(I67,Materialen!$A$2:$I$39,9,0)),0)=0,1,0))+IF(K67="",0,IF(IFERROR(IF(VLOOKUP(K67,Materialen!$A$2:$I$39,9,0)="",0,VLOOKUP(K67,Materialen!$A$2:$I$39,9,0)),0)=0,1,0))+IF(M67="",0,IF(IFERROR(IF(VLOOKUP(M67,Materialen!$A$2:$I$39,9,0)="",0,VLOOKUP(M67,Materialen!$A$2:$I$39,9,0)),0)=0,1,0)))&gt;0,"aankoopprijs ontbreekt",IF(AND(G67="",K67="",N(T67)=0,N(R67)=0),"kost invullen (arbeid/overig)","OK"))</f>
        <v/>
      </c>
      <c r="AD67" s="7" t="inlineStr">
        <is>
          <t>50 x A5</t>
        </is>
      </c>
    </row>
    <row r="68">
      <c r="A68" s="7" t="n">
        <v>67</v>
      </c>
      <c r="B68" s="7" t="inlineStr">
        <is>
          <t>Impression noir ou quadrichromie sur carton 1mm</t>
        </is>
      </c>
      <c r="C68" s="7" t="inlineStr">
        <is>
          <t>100 cartels</t>
        </is>
      </c>
      <c r="D68" s="7" t="inlineStr">
        <is>
          <t>100 cartels</t>
        </is>
      </c>
      <c r="E68" s="7" t="n">
        <v>5</v>
      </c>
      <c r="F68" s="5" t="n">
        <v>130</v>
      </c>
      <c r="G68" s="7" t="inlineStr">
        <is>
          <t>M37</t>
        </is>
      </c>
      <c r="H68" s="20" t="n">
        <v>3.108</v>
      </c>
      <c r="I68" s="7" t="n"/>
      <c r="J68" s="20" t="n"/>
      <c r="K68" s="7" t="n"/>
      <c r="L68" s="7" t="n"/>
      <c r="M68" s="7" t="n"/>
      <c r="N68" s="7" t="n"/>
      <c r="O68" s="6">
        <f>IF(G68="","",IF(IFERROR(VLOOKUP(G68,Materialen!$A$2:$I$39,4,0),"")="plaat",Instellingen!$B$4,Instellingen!$B$3))</f>
        <v/>
      </c>
      <c r="P68" s="5">
        <f>ROUND(N(H68)*IFERROR(IF(VLOOKUP(G68,Materialen!$A$2:$I$39,9,0)="",0,VLOOKUP(G68,Materialen!$A$2:$I$39,9,0)),0)*(1+N(O68))+N(J68)*IFERROR(IF(VLOOKUP(I68,Materialen!$A$2:$I$39,9,0)="",0,VLOOKUP(I68,Materialen!$A$2:$I$39,9,0)),0)*(1+N(O68))+N(L68)*IFERROR(IF(VLOOKUP(K68,Materialen!$A$2:$I$39,9,0)="",0,VLOOKUP(K68,Materialen!$A$2:$I$39,9,0)),0)+N(N68)*IFERROR(IF(VLOOKUP(M68,Materialen!$A$2:$I$39,9,0)="",0,VLOOKUP(M68,Materialen!$A$2:$I$39,9,0)),0),2)</f>
        <v/>
      </c>
      <c r="Q68" s="5">
        <f>IF(G68="",0,IF(IFERROR(VLOOKUP(G68,Materialen!$A$2:$I$39,5,0),"N")="J",ROUND(N(H68)*(1+N(O68))*Instellingen!$B$8,2),0))</f>
        <v/>
      </c>
      <c r="R68" s="18" t="n"/>
      <c r="S68" s="5">
        <f>ROUND(N(R68)/60*Instellingen!$B$9,2)</f>
        <v/>
      </c>
      <c r="T68" s="14" t="n"/>
      <c r="U68" s="5">
        <f>P68+Q68+S68+N(T68)</f>
        <v/>
      </c>
      <c r="V68" s="5">
        <f>IF(AC68&lt;&gt;"OK","",F68-U68)</f>
        <v/>
      </c>
      <c r="W68" s="6">
        <f>IF(OR(F68=0,AC68&lt;&gt;"OK"),"",V68/F68)</f>
        <v/>
      </c>
      <c r="X68" s="5">
        <f>IF(N(H68)&gt;0,F68/H68,"")</f>
        <v/>
      </c>
      <c r="Y68" s="5">
        <f>IF(N(H68)&gt;0,IFERROR(IF(VLOOKUP(G68,Materialen!$A$2:$I$39,9,0)="",0,VLOOKUP(G68,Materialen!$A$2:$I$39,9,0)),0),"")</f>
        <v/>
      </c>
      <c r="Z68" s="5">
        <f>ROUND(E68*F68,2)</f>
        <v/>
      </c>
      <c r="AA68" s="5">
        <f>IF(AC68&lt;&gt;"OK","",ROUND(E68*U68,2))</f>
        <v/>
      </c>
      <c r="AB68" s="5">
        <f>IF(AC68&lt;&gt;"OK","",Z68-AA68)</f>
        <v/>
      </c>
      <c r="AC68" s="7">
        <f>IF((IF(G68="",0,IF(IFERROR(IF(VLOOKUP(G68,Materialen!$A$2:$I$39,9,0)="",0,VLOOKUP(G68,Materialen!$A$2:$I$39,9,0)),0)=0,1,0))+IF(I68="",0,IF(IFERROR(IF(VLOOKUP(I68,Materialen!$A$2:$I$39,9,0)="",0,VLOOKUP(I68,Materialen!$A$2:$I$39,9,0)),0)=0,1,0))+IF(K68="",0,IF(IFERROR(IF(VLOOKUP(K68,Materialen!$A$2:$I$39,9,0)="",0,VLOOKUP(K68,Materialen!$A$2:$I$39,9,0)),0)=0,1,0))+IF(M68="",0,IF(IFERROR(IF(VLOOKUP(M68,Materialen!$A$2:$I$39,9,0)="",0,VLOOKUP(M68,Materialen!$A$2:$I$39,9,0)),0)=0,1,0)))&gt;0,"aankoopprijs ontbreekt",IF(AND(G68="",K68="",N(T68)=0,N(R68)=0),"kost invullen (arbeid/overig)","OK"))</f>
        <v/>
      </c>
      <c r="AD68" s="7" t="inlineStr">
        <is>
          <t>100 x A5</t>
        </is>
      </c>
    </row>
    <row r="69">
      <c r="A69" s="7" t="n">
        <v>68</v>
      </c>
      <c r="B69" s="7" t="inlineStr">
        <is>
          <t>Impression noir ou quadrichromie sur carton 1mm</t>
        </is>
      </c>
      <c r="C69" s="7" t="inlineStr">
        <is>
          <t>150 cartels</t>
        </is>
      </c>
      <c r="D69" s="7" t="inlineStr">
        <is>
          <t>150 cartels</t>
        </is>
      </c>
      <c r="E69" s="7" t="n">
        <v>5</v>
      </c>
      <c r="F69" s="5" t="n">
        <v>180</v>
      </c>
      <c r="G69" s="7" t="inlineStr">
        <is>
          <t>M37</t>
        </is>
      </c>
      <c r="H69" s="20" t="n">
        <v>4.662</v>
      </c>
      <c r="I69" s="7" t="n"/>
      <c r="J69" s="20" t="n"/>
      <c r="K69" s="7" t="n"/>
      <c r="L69" s="7" t="n"/>
      <c r="M69" s="7" t="n"/>
      <c r="N69" s="7" t="n"/>
      <c r="O69" s="6">
        <f>IF(G69="","",IF(IFERROR(VLOOKUP(G69,Materialen!$A$2:$I$39,4,0),"")="plaat",Instellingen!$B$4,Instellingen!$B$3))</f>
        <v/>
      </c>
      <c r="P69" s="5">
        <f>ROUND(N(H69)*IFERROR(IF(VLOOKUP(G69,Materialen!$A$2:$I$39,9,0)="",0,VLOOKUP(G69,Materialen!$A$2:$I$39,9,0)),0)*(1+N(O69))+N(J69)*IFERROR(IF(VLOOKUP(I69,Materialen!$A$2:$I$39,9,0)="",0,VLOOKUP(I69,Materialen!$A$2:$I$39,9,0)),0)*(1+N(O69))+N(L69)*IFERROR(IF(VLOOKUP(K69,Materialen!$A$2:$I$39,9,0)="",0,VLOOKUP(K69,Materialen!$A$2:$I$39,9,0)),0)+N(N69)*IFERROR(IF(VLOOKUP(M69,Materialen!$A$2:$I$39,9,0)="",0,VLOOKUP(M69,Materialen!$A$2:$I$39,9,0)),0),2)</f>
        <v/>
      </c>
      <c r="Q69" s="5">
        <f>IF(G69="",0,IF(IFERROR(VLOOKUP(G69,Materialen!$A$2:$I$39,5,0),"N")="J",ROUND(N(H69)*(1+N(O69))*Instellingen!$B$8,2),0))</f>
        <v/>
      </c>
      <c r="R69" s="18" t="n"/>
      <c r="S69" s="5">
        <f>ROUND(N(R69)/60*Instellingen!$B$9,2)</f>
        <v/>
      </c>
      <c r="T69" s="14" t="n"/>
      <c r="U69" s="5">
        <f>P69+Q69+S69+N(T69)</f>
        <v/>
      </c>
      <c r="V69" s="5">
        <f>IF(AC69&lt;&gt;"OK","",F69-U69)</f>
        <v/>
      </c>
      <c r="W69" s="6">
        <f>IF(OR(F69=0,AC69&lt;&gt;"OK"),"",V69/F69)</f>
        <v/>
      </c>
      <c r="X69" s="5">
        <f>IF(N(H69)&gt;0,F69/H69,"")</f>
        <v/>
      </c>
      <c r="Y69" s="5">
        <f>IF(N(H69)&gt;0,IFERROR(IF(VLOOKUP(G69,Materialen!$A$2:$I$39,9,0)="",0,VLOOKUP(G69,Materialen!$A$2:$I$39,9,0)),0),"")</f>
        <v/>
      </c>
      <c r="Z69" s="5">
        <f>ROUND(E69*F69,2)</f>
        <v/>
      </c>
      <c r="AA69" s="5">
        <f>IF(AC69&lt;&gt;"OK","",ROUND(E69*U69,2))</f>
        <v/>
      </c>
      <c r="AB69" s="5">
        <f>IF(AC69&lt;&gt;"OK","",Z69-AA69)</f>
        <v/>
      </c>
      <c r="AC69" s="7">
        <f>IF((IF(G69="",0,IF(IFERROR(IF(VLOOKUP(G69,Materialen!$A$2:$I$39,9,0)="",0,VLOOKUP(G69,Materialen!$A$2:$I$39,9,0)),0)=0,1,0))+IF(I69="",0,IF(IFERROR(IF(VLOOKUP(I69,Materialen!$A$2:$I$39,9,0)="",0,VLOOKUP(I69,Materialen!$A$2:$I$39,9,0)),0)=0,1,0))+IF(K69="",0,IF(IFERROR(IF(VLOOKUP(K69,Materialen!$A$2:$I$39,9,0)="",0,VLOOKUP(K69,Materialen!$A$2:$I$39,9,0)),0)=0,1,0))+IF(M69="",0,IF(IFERROR(IF(VLOOKUP(M69,Materialen!$A$2:$I$39,9,0)="",0,VLOOKUP(M69,Materialen!$A$2:$I$39,9,0)),0)=0,1,0)))&gt;0,"aankoopprijs ontbreekt",IF(AND(G69="",K69="",N(T69)=0,N(R69)=0),"kost invullen (arbeid/overig)","OK"))</f>
        <v/>
      </c>
      <c r="AD69" s="7" t="inlineStr">
        <is>
          <t>150 x A5</t>
        </is>
      </c>
    </row>
    <row r="70">
      <c r="A70" s="7" t="n">
        <v>69</v>
      </c>
      <c r="B70" s="7" t="inlineStr">
        <is>
          <t>Impression noir ou quadrichromie sur carton 1mm</t>
        </is>
      </c>
      <c r="C70" s="7" t="inlineStr">
        <is>
          <t>200 cartels</t>
        </is>
      </c>
      <c r="D70" s="7" t="inlineStr">
        <is>
          <t>200 cartels</t>
        </is>
      </c>
      <c r="E70" s="7" t="n">
        <v>5</v>
      </c>
      <c r="F70" s="5" t="n">
        <v>225</v>
      </c>
      <c r="G70" s="7" t="inlineStr">
        <is>
          <t>M37</t>
        </is>
      </c>
      <c r="H70" s="20" t="n">
        <v>6.216</v>
      </c>
      <c r="I70" s="7" t="n"/>
      <c r="J70" s="20" t="n"/>
      <c r="K70" s="7" t="n"/>
      <c r="L70" s="7" t="n"/>
      <c r="M70" s="7" t="n"/>
      <c r="N70" s="7" t="n"/>
      <c r="O70" s="6">
        <f>IF(G70="","",IF(IFERROR(VLOOKUP(G70,Materialen!$A$2:$I$39,4,0),"")="plaat",Instellingen!$B$4,Instellingen!$B$3))</f>
        <v/>
      </c>
      <c r="P70" s="5">
        <f>ROUND(N(H70)*IFERROR(IF(VLOOKUP(G70,Materialen!$A$2:$I$39,9,0)="",0,VLOOKUP(G70,Materialen!$A$2:$I$39,9,0)),0)*(1+N(O70))+N(J70)*IFERROR(IF(VLOOKUP(I70,Materialen!$A$2:$I$39,9,0)="",0,VLOOKUP(I70,Materialen!$A$2:$I$39,9,0)),0)*(1+N(O70))+N(L70)*IFERROR(IF(VLOOKUP(K70,Materialen!$A$2:$I$39,9,0)="",0,VLOOKUP(K70,Materialen!$A$2:$I$39,9,0)),0)+N(N70)*IFERROR(IF(VLOOKUP(M70,Materialen!$A$2:$I$39,9,0)="",0,VLOOKUP(M70,Materialen!$A$2:$I$39,9,0)),0),2)</f>
        <v/>
      </c>
      <c r="Q70" s="5">
        <f>IF(G70="",0,IF(IFERROR(VLOOKUP(G70,Materialen!$A$2:$I$39,5,0),"N")="J",ROUND(N(H70)*(1+N(O70))*Instellingen!$B$8,2),0))</f>
        <v/>
      </c>
      <c r="R70" s="18" t="n"/>
      <c r="S70" s="5">
        <f>ROUND(N(R70)/60*Instellingen!$B$9,2)</f>
        <v/>
      </c>
      <c r="T70" s="14" t="n"/>
      <c r="U70" s="5">
        <f>P70+Q70+S70+N(T70)</f>
        <v/>
      </c>
      <c r="V70" s="5">
        <f>IF(AC70&lt;&gt;"OK","",F70-U70)</f>
        <v/>
      </c>
      <c r="W70" s="6">
        <f>IF(OR(F70=0,AC70&lt;&gt;"OK"),"",V70/F70)</f>
        <v/>
      </c>
      <c r="X70" s="5">
        <f>IF(N(H70)&gt;0,F70/H70,"")</f>
        <v/>
      </c>
      <c r="Y70" s="5">
        <f>IF(N(H70)&gt;0,IFERROR(IF(VLOOKUP(G70,Materialen!$A$2:$I$39,9,0)="",0,VLOOKUP(G70,Materialen!$A$2:$I$39,9,0)),0),"")</f>
        <v/>
      </c>
      <c r="Z70" s="5">
        <f>ROUND(E70*F70,2)</f>
        <v/>
      </c>
      <c r="AA70" s="5">
        <f>IF(AC70&lt;&gt;"OK","",ROUND(E70*U70,2))</f>
        <v/>
      </c>
      <c r="AB70" s="5">
        <f>IF(AC70&lt;&gt;"OK","",Z70-AA70)</f>
        <v/>
      </c>
      <c r="AC70" s="7">
        <f>IF((IF(G70="",0,IF(IFERROR(IF(VLOOKUP(G70,Materialen!$A$2:$I$39,9,0)="",0,VLOOKUP(G70,Materialen!$A$2:$I$39,9,0)),0)=0,1,0))+IF(I70="",0,IF(IFERROR(IF(VLOOKUP(I70,Materialen!$A$2:$I$39,9,0)="",0,VLOOKUP(I70,Materialen!$A$2:$I$39,9,0)),0)=0,1,0))+IF(K70="",0,IF(IFERROR(IF(VLOOKUP(K70,Materialen!$A$2:$I$39,9,0)="",0,VLOOKUP(K70,Materialen!$A$2:$I$39,9,0)),0)=0,1,0))+IF(M70="",0,IF(IFERROR(IF(VLOOKUP(M70,Materialen!$A$2:$I$39,9,0)="",0,VLOOKUP(M70,Materialen!$A$2:$I$39,9,0)),0)=0,1,0)))&gt;0,"aankoopprijs ontbreekt",IF(AND(G70="",K70="",N(T70)=0,N(R70)=0),"kost invullen (arbeid/overig)","OK"))</f>
        <v/>
      </c>
      <c r="AD70" s="7" t="inlineStr">
        <is>
          <t>200 x A5</t>
        </is>
      </c>
    </row>
    <row r="71">
      <c r="A71" s="7" t="n">
        <v>70</v>
      </c>
      <c r="B71" s="7" t="inlineStr">
        <is>
          <t>Impression noir ou quadrichromie sur carton 1mm</t>
        </is>
      </c>
      <c r="C71" s="7" t="inlineStr">
        <is>
          <t>qté supplém. +10</t>
        </is>
      </c>
      <c r="D71" s="7" t="inlineStr">
        <is>
          <t>10 quantités supplémentaires</t>
        </is>
      </c>
      <c r="E71" s="7" t="n">
        <v>5</v>
      </c>
      <c r="F71" s="5" t="n">
        <v>11</v>
      </c>
      <c r="G71" s="7" t="inlineStr">
        <is>
          <t>M37</t>
        </is>
      </c>
      <c r="H71" s="20" t="n">
        <v>0.3108</v>
      </c>
      <c r="I71" s="7" t="n"/>
      <c r="J71" s="20" t="n"/>
      <c r="K71" s="7" t="n"/>
      <c r="L71" s="7" t="n"/>
      <c r="M71" s="7" t="n"/>
      <c r="N71" s="7" t="n"/>
      <c r="O71" s="6">
        <f>IF(G71="","",IF(IFERROR(VLOOKUP(G71,Materialen!$A$2:$I$39,4,0),"")="plaat",Instellingen!$B$4,Instellingen!$B$3))</f>
        <v/>
      </c>
      <c r="P71" s="5">
        <f>ROUND(N(H71)*IFERROR(IF(VLOOKUP(G71,Materialen!$A$2:$I$39,9,0)="",0,VLOOKUP(G71,Materialen!$A$2:$I$39,9,0)),0)*(1+N(O71))+N(J71)*IFERROR(IF(VLOOKUP(I71,Materialen!$A$2:$I$39,9,0)="",0,VLOOKUP(I71,Materialen!$A$2:$I$39,9,0)),0)*(1+N(O71))+N(L71)*IFERROR(IF(VLOOKUP(K71,Materialen!$A$2:$I$39,9,0)="",0,VLOOKUP(K71,Materialen!$A$2:$I$39,9,0)),0)+N(N71)*IFERROR(IF(VLOOKUP(M71,Materialen!$A$2:$I$39,9,0)="",0,VLOOKUP(M71,Materialen!$A$2:$I$39,9,0)),0),2)</f>
        <v/>
      </c>
      <c r="Q71" s="5">
        <f>IF(G71="",0,IF(IFERROR(VLOOKUP(G71,Materialen!$A$2:$I$39,5,0),"N")="J",ROUND(N(H71)*(1+N(O71))*Instellingen!$B$8,2),0))</f>
        <v/>
      </c>
      <c r="R71" s="18" t="n"/>
      <c r="S71" s="5">
        <f>ROUND(N(R71)/60*Instellingen!$B$9,2)</f>
        <v/>
      </c>
      <c r="T71" s="14" t="n"/>
      <c r="U71" s="5">
        <f>P71+Q71+S71+N(T71)</f>
        <v/>
      </c>
      <c r="V71" s="5">
        <f>IF(AC71&lt;&gt;"OK","",F71-U71)</f>
        <v/>
      </c>
      <c r="W71" s="6">
        <f>IF(OR(F71=0,AC71&lt;&gt;"OK"),"",V71/F71)</f>
        <v/>
      </c>
      <c r="X71" s="5">
        <f>IF(N(H71)&gt;0,F71/H71,"")</f>
        <v/>
      </c>
      <c r="Y71" s="5">
        <f>IF(N(H71)&gt;0,IFERROR(IF(VLOOKUP(G71,Materialen!$A$2:$I$39,9,0)="",0,VLOOKUP(G71,Materialen!$A$2:$I$39,9,0)),0),"")</f>
        <v/>
      </c>
      <c r="Z71" s="5">
        <f>ROUND(E71*F71,2)</f>
        <v/>
      </c>
      <c r="AA71" s="5">
        <f>IF(AC71&lt;&gt;"OK","",ROUND(E71*U71,2))</f>
        <v/>
      </c>
      <c r="AB71" s="5">
        <f>IF(AC71&lt;&gt;"OK","",Z71-AA71)</f>
        <v/>
      </c>
      <c r="AC71" s="7">
        <f>IF((IF(G71="",0,IF(IFERROR(IF(VLOOKUP(G71,Materialen!$A$2:$I$39,9,0)="",0,VLOOKUP(G71,Materialen!$A$2:$I$39,9,0)),0)=0,1,0))+IF(I71="",0,IF(IFERROR(IF(VLOOKUP(I71,Materialen!$A$2:$I$39,9,0)="",0,VLOOKUP(I71,Materialen!$A$2:$I$39,9,0)),0)=0,1,0))+IF(K71="",0,IF(IFERROR(IF(VLOOKUP(K71,Materialen!$A$2:$I$39,9,0)="",0,VLOOKUP(K71,Materialen!$A$2:$I$39,9,0)),0)=0,1,0))+IF(M71="",0,IF(IFERROR(IF(VLOOKUP(M71,Materialen!$A$2:$I$39,9,0)="",0,VLOOKUP(M71,Materialen!$A$2:$I$39,9,0)),0)=0,1,0)))&gt;0,"aankoopprijs ontbreekt",IF(AND(G71="",K71="",N(T71)=0,N(R71)=0),"kost invullen (arbeid/overig)","OK"))</f>
        <v/>
      </c>
      <c r="AD71" s="7" t="inlineStr">
        <is>
          <t>10 x A5</t>
        </is>
      </c>
    </row>
    <row r="72">
      <c r="A72" s="7" t="n">
        <v>71</v>
      </c>
      <c r="B72" s="7" t="inlineStr">
        <is>
          <t>Impression noir ou quadrichromie sur carton 2mm</t>
        </is>
      </c>
      <c r="C72" s="7" t="inlineStr">
        <is>
          <t>10 cartels</t>
        </is>
      </c>
      <c r="D72" s="7" t="inlineStr">
        <is>
          <t>10 cartels</t>
        </is>
      </c>
      <c r="E72" s="7" t="n">
        <v>5</v>
      </c>
      <c r="F72" s="5" t="n">
        <v>25</v>
      </c>
      <c r="G72" s="7" t="inlineStr">
        <is>
          <t>M36</t>
        </is>
      </c>
      <c r="H72" s="20" t="n">
        <v>0.3108</v>
      </c>
      <c r="I72" s="7" t="n"/>
      <c r="J72" s="20" t="n"/>
      <c r="K72" s="7" t="n"/>
      <c r="L72" s="7" t="n"/>
      <c r="M72" s="7" t="n"/>
      <c r="N72" s="7" t="n"/>
      <c r="O72" s="6">
        <f>IF(G72="","",IF(IFERROR(VLOOKUP(G72,Materialen!$A$2:$I$39,4,0),"")="plaat",Instellingen!$B$4,Instellingen!$B$3))</f>
        <v/>
      </c>
      <c r="P72" s="5">
        <f>ROUND(N(H72)*IFERROR(IF(VLOOKUP(G72,Materialen!$A$2:$I$39,9,0)="",0,VLOOKUP(G72,Materialen!$A$2:$I$39,9,0)),0)*(1+N(O72))+N(J72)*IFERROR(IF(VLOOKUP(I72,Materialen!$A$2:$I$39,9,0)="",0,VLOOKUP(I72,Materialen!$A$2:$I$39,9,0)),0)*(1+N(O72))+N(L72)*IFERROR(IF(VLOOKUP(K72,Materialen!$A$2:$I$39,9,0)="",0,VLOOKUP(K72,Materialen!$A$2:$I$39,9,0)),0)+N(N72)*IFERROR(IF(VLOOKUP(M72,Materialen!$A$2:$I$39,9,0)="",0,VLOOKUP(M72,Materialen!$A$2:$I$39,9,0)),0),2)</f>
        <v/>
      </c>
      <c r="Q72" s="5">
        <f>IF(G72="",0,IF(IFERROR(VLOOKUP(G72,Materialen!$A$2:$I$39,5,0),"N")="J",ROUND(N(H72)*(1+N(O72))*Instellingen!$B$8,2),0))</f>
        <v/>
      </c>
      <c r="R72" s="18" t="n"/>
      <c r="S72" s="5">
        <f>ROUND(N(R72)/60*Instellingen!$B$9,2)</f>
        <v/>
      </c>
      <c r="T72" s="14" t="n"/>
      <c r="U72" s="5">
        <f>P72+Q72+S72+N(T72)</f>
        <v/>
      </c>
      <c r="V72" s="5">
        <f>IF(AC72&lt;&gt;"OK","",F72-U72)</f>
        <v/>
      </c>
      <c r="W72" s="6">
        <f>IF(OR(F72=0,AC72&lt;&gt;"OK"),"",V72/F72)</f>
        <v/>
      </c>
      <c r="X72" s="5">
        <f>IF(N(H72)&gt;0,F72/H72,"")</f>
        <v/>
      </c>
      <c r="Y72" s="5">
        <f>IF(N(H72)&gt;0,IFERROR(IF(VLOOKUP(G72,Materialen!$A$2:$I$39,9,0)="",0,VLOOKUP(G72,Materialen!$A$2:$I$39,9,0)),0),"")</f>
        <v/>
      </c>
      <c r="Z72" s="5">
        <f>ROUND(E72*F72,2)</f>
        <v/>
      </c>
      <c r="AA72" s="5">
        <f>IF(AC72&lt;&gt;"OK","",ROUND(E72*U72,2))</f>
        <v/>
      </c>
      <c r="AB72" s="5">
        <f>IF(AC72&lt;&gt;"OK","",Z72-AA72)</f>
        <v/>
      </c>
      <c r="AC72" s="7">
        <f>IF((IF(G72="",0,IF(IFERROR(IF(VLOOKUP(G72,Materialen!$A$2:$I$39,9,0)="",0,VLOOKUP(G72,Materialen!$A$2:$I$39,9,0)),0)=0,1,0))+IF(I72="",0,IF(IFERROR(IF(VLOOKUP(I72,Materialen!$A$2:$I$39,9,0)="",0,VLOOKUP(I72,Materialen!$A$2:$I$39,9,0)),0)=0,1,0))+IF(K72="",0,IF(IFERROR(IF(VLOOKUP(K72,Materialen!$A$2:$I$39,9,0)="",0,VLOOKUP(K72,Materialen!$A$2:$I$39,9,0)),0)=0,1,0))+IF(M72="",0,IF(IFERROR(IF(VLOOKUP(M72,Materialen!$A$2:$I$39,9,0)="",0,VLOOKUP(M72,Materialen!$A$2:$I$39,9,0)),0)=0,1,0)))&gt;0,"aankoopprijs ontbreekt",IF(AND(G72="",K72="",N(T72)=0,N(R72)=0),"kost invullen (arbeid/overig)","OK"))</f>
        <v/>
      </c>
      <c r="AD72" s="7" t="inlineStr">
        <is>
          <t>10 x A5</t>
        </is>
      </c>
    </row>
    <row r="73">
      <c r="A73" s="7" t="n">
        <v>72</v>
      </c>
      <c r="B73" s="7" t="inlineStr">
        <is>
          <t>Impression noir ou quadrichromie sur carton 2mm</t>
        </is>
      </c>
      <c r="C73" s="7" t="inlineStr">
        <is>
          <t>25 cartels</t>
        </is>
      </c>
      <c r="D73" s="7" t="inlineStr">
        <is>
          <t>25 cartels</t>
        </is>
      </c>
      <c r="E73" s="7" t="n">
        <v>5</v>
      </c>
      <c r="F73" s="5" t="n">
        <v>50</v>
      </c>
      <c r="G73" s="7" t="inlineStr">
        <is>
          <t>M36</t>
        </is>
      </c>
      <c r="H73" s="20" t="n">
        <v>0.777</v>
      </c>
      <c r="I73" s="7" t="n"/>
      <c r="J73" s="20" t="n"/>
      <c r="K73" s="7" t="n"/>
      <c r="L73" s="7" t="n"/>
      <c r="M73" s="7" t="n"/>
      <c r="N73" s="7" t="n"/>
      <c r="O73" s="6">
        <f>IF(G73="","",IF(IFERROR(VLOOKUP(G73,Materialen!$A$2:$I$39,4,0),"")="plaat",Instellingen!$B$4,Instellingen!$B$3))</f>
        <v/>
      </c>
      <c r="P73" s="5">
        <f>ROUND(N(H73)*IFERROR(IF(VLOOKUP(G73,Materialen!$A$2:$I$39,9,0)="",0,VLOOKUP(G73,Materialen!$A$2:$I$39,9,0)),0)*(1+N(O73))+N(J73)*IFERROR(IF(VLOOKUP(I73,Materialen!$A$2:$I$39,9,0)="",0,VLOOKUP(I73,Materialen!$A$2:$I$39,9,0)),0)*(1+N(O73))+N(L73)*IFERROR(IF(VLOOKUP(K73,Materialen!$A$2:$I$39,9,0)="",0,VLOOKUP(K73,Materialen!$A$2:$I$39,9,0)),0)+N(N73)*IFERROR(IF(VLOOKUP(M73,Materialen!$A$2:$I$39,9,0)="",0,VLOOKUP(M73,Materialen!$A$2:$I$39,9,0)),0),2)</f>
        <v/>
      </c>
      <c r="Q73" s="5">
        <f>IF(G73="",0,IF(IFERROR(VLOOKUP(G73,Materialen!$A$2:$I$39,5,0),"N")="J",ROUND(N(H73)*(1+N(O73))*Instellingen!$B$8,2),0))</f>
        <v/>
      </c>
      <c r="R73" s="18" t="n"/>
      <c r="S73" s="5">
        <f>ROUND(N(R73)/60*Instellingen!$B$9,2)</f>
        <v/>
      </c>
      <c r="T73" s="14" t="n"/>
      <c r="U73" s="5">
        <f>P73+Q73+S73+N(T73)</f>
        <v/>
      </c>
      <c r="V73" s="5">
        <f>IF(AC73&lt;&gt;"OK","",F73-U73)</f>
        <v/>
      </c>
      <c r="W73" s="6">
        <f>IF(OR(F73=0,AC73&lt;&gt;"OK"),"",V73/F73)</f>
        <v/>
      </c>
      <c r="X73" s="5">
        <f>IF(N(H73)&gt;0,F73/H73,"")</f>
        <v/>
      </c>
      <c r="Y73" s="5">
        <f>IF(N(H73)&gt;0,IFERROR(IF(VLOOKUP(G73,Materialen!$A$2:$I$39,9,0)="",0,VLOOKUP(G73,Materialen!$A$2:$I$39,9,0)),0),"")</f>
        <v/>
      </c>
      <c r="Z73" s="5">
        <f>ROUND(E73*F73,2)</f>
        <v/>
      </c>
      <c r="AA73" s="5">
        <f>IF(AC73&lt;&gt;"OK","",ROUND(E73*U73,2))</f>
        <v/>
      </c>
      <c r="AB73" s="5">
        <f>IF(AC73&lt;&gt;"OK","",Z73-AA73)</f>
        <v/>
      </c>
      <c r="AC73" s="7">
        <f>IF((IF(G73="",0,IF(IFERROR(IF(VLOOKUP(G73,Materialen!$A$2:$I$39,9,0)="",0,VLOOKUP(G73,Materialen!$A$2:$I$39,9,0)),0)=0,1,0))+IF(I73="",0,IF(IFERROR(IF(VLOOKUP(I73,Materialen!$A$2:$I$39,9,0)="",0,VLOOKUP(I73,Materialen!$A$2:$I$39,9,0)),0)=0,1,0))+IF(K73="",0,IF(IFERROR(IF(VLOOKUP(K73,Materialen!$A$2:$I$39,9,0)="",0,VLOOKUP(K73,Materialen!$A$2:$I$39,9,0)),0)=0,1,0))+IF(M73="",0,IF(IFERROR(IF(VLOOKUP(M73,Materialen!$A$2:$I$39,9,0)="",0,VLOOKUP(M73,Materialen!$A$2:$I$39,9,0)),0)=0,1,0)))&gt;0,"aankoopprijs ontbreekt",IF(AND(G73="",K73="",N(T73)=0,N(R73)=0),"kost invullen (arbeid/overig)","OK"))</f>
        <v/>
      </c>
      <c r="AD73" s="7" t="inlineStr">
        <is>
          <t>25 x A5</t>
        </is>
      </c>
    </row>
    <row r="74">
      <c r="A74" s="7" t="n">
        <v>73</v>
      </c>
      <c r="B74" s="7" t="inlineStr">
        <is>
          <t>Impression noir ou quadrichromie sur carton 2mm</t>
        </is>
      </c>
      <c r="C74" s="7" t="inlineStr">
        <is>
          <t>50 cartels</t>
        </is>
      </c>
      <c r="D74" s="7" t="inlineStr">
        <is>
          <t>50 cartels</t>
        </is>
      </c>
      <c r="E74" s="7" t="n">
        <v>5</v>
      </c>
      <c r="F74" s="5" t="n">
        <v>85</v>
      </c>
      <c r="G74" s="7" t="inlineStr">
        <is>
          <t>M36</t>
        </is>
      </c>
      <c r="H74" s="20" t="n">
        <v>1.554</v>
      </c>
      <c r="I74" s="7" t="n"/>
      <c r="J74" s="20" t="n"/>
      <c r="K74" s="7" t="n"/>
      <c r="L74" s="7" t="n"/>
      <c r="M74" s="7" t="n"/>
      <c r="N74" s="7" t="n"/>
      <c r="O74" s="6">
        <f>IF(G74="","",IF(IFERROR(VLOOKUP(G74,Materialen!$A$2:$I$39,4,0),"")="plaat",Instellingen!$B$4,Instellingen!$B$3))</f>
        <v/>
      </c>
      <c r="P74" s="5">
        <f>ROUND(N(H74)*IFERROR(IF(VLOOKUP(G74,Materialen!$A$2:$I$39,9,0)="",0,VLOOKUP(G74,Materialen!$A$2:$I$39,9,0)),0)*(1+N(O74))+N(J74)*IFERROR(IF(VLOOKUP(I74,Materialen!$A$2:$I$39,9,0)="",0,VLOOKUP(I74,Materialen!$A$2:$I$39,9,0)),0)*(1+N(O74))+N(L74)*IFERROR(IF(VLOOKUP(K74,Materialen!$A$2:$I$39,9,0)="",0,VLOOKUP(K74,Materialen!$A$2:$I$39,9,0)),0)+N(N74)*IFERROR(IF(VLOOKUP(M74,Materialen!$A$2:$I$39,9,0)="",0,VLOOKUP(M74,Materialen!$A$2:$I$39,9,0)),0),2)</f>
        <v/>
      </c>
      <c r="Q74" s="5">
        <f>IF(G74="",0,IF(IFERROR(VLOOKUP(G74,Materialen!$A$2:$I$39,5,0),"N")="J",ROUND(N(H74)*(1+N(O74))*Instellingen!$B$8,2),0))</f>
        <v/>
      </c>
      <c r="R74" s="18" t="n"/>
      <c r="S74" s="5">
        <f>ROUND(N(R74)/60*Instellingen!$B$9,2)</f>
        <v/>
      </c>
      <c r="T74" s="14" t="n"/>
      <c r="U74" s="5">
        <f>P74+Q74+S74+N(T74)</f>
        <v/>
      </c>
      <c r="V74" s="5">
        <f>IF(AC74&lt;&gt;"OK","",F74-U74)</f>
        <v/>
      </c>
      <c r="W74" s="6">
        <f>IF(OR(F74=0,AC74&lt;&gt;"OK"),"",V74/F74)</f>
        <v/>
      </c>
      <c r="X74" s="5">
        <f>IF(N(H74)&gt;0,F74/H74,"")</f>
        <v/>
      </c>
      <c r="Y74" s="5">
        <f>IF(N(H74)&gt;0,IFERROR(IF(VLOOKUP(G74,Materialen!$A$2:$I$39,9,0)="",0,VLOOKUP(G74,Materialen!$A$2:$I$39,9,0)),0),"")</f>
        <v/>
      </c>
      <c r="Z74" s="5">
        <f>ROUND(E74*F74,2)</f>
        <v/>
      </c>
      <c r="AA74" s="5">
        <f>IF(AC74&lt;&gt;"OK","",ROUND(E74*U74,2))</f>
        <v/>
      </c>
      <c r="AB74" s="5">
        <f>IF(AC74&lt;&gt;"OK","",Z74-AA74)</f>
        <v/>
      </c>
      <c r="AC74" s="7">
        <f>IF((IF(G74="",0,IF(IFERROR(IF(VLOOKUP(G74,Materialen!$A$2:$I$39,9,0)="",0,VLOOKUP(G74,Materialen!$A$2:$I$39,9,0)),0)=0,1,0))+IF(I74="",0,IF(IFERROR(IF(VLOOKUP(I74,Materialen!$A$2:$I$39,9,0)="",0,VLOOKUP(I74,Materialen!$A$2:$I$39,9,0)),0)=0,1,0))+IF(K74="",0,IF(IFERROR(IF(VLOOKUP(K74,Materialen!$A$2:$I$39,9,0)="",0,VLOOKUP(K74,Materialen!$A$2:$I$39,9,0)),0)=0,1,0))+IF(M74="",0,IF(IFERROR(IF(VLOOKUP(M74,Materialen!$A$2:$I$39,9,0)="",0,VLOOKUP(M74,Materialen!$A$2:$I$39,9,0)),0)=0,1,0)))&gt;0,"aankoopprijs ontbreekt",IF(AND(G74="",K74="",N(T74)=0,N(R74)=0),"kost invullen (arbeid/overig)","OK"))</f>
        <v/>
      </c>
      <c r="AD74" s="7" t="inlineStr">
        <is>
          <t>50 x A5</t>
        </is>
      </c>
    </row>
    <row r="75">
      <c r="A75" s="7" t="n">
        <v>74</v>
      </c>
      <c r="B75" s="7" t="inlineStr">
        <is>
          <t>Impression noir ou quadrichromie sur carton 2mm</t>
        </is>
      </c>
      <c r="C75" s="7" t="inlineStr">
        <is>
          <t>100 cartels</t>
        </is>
      </c>
      <c r="D75" s="7" t="inlineStr">
        <is>
          <t>100 cartels</t>
        </is>
      </c>
      <c r="E75" s="7" t="n">
        <v>5</v>
      </c>
      <c r="F75" s="5" t="n">
        <v>150</v>
      </c>
      <c r="G75" s="7" t="inlineStr">
        <is>
          <t>M36</t>
        </is>
      </c>
      <c r="H75" s="20" t="n">
        <v>3.108</v>
      </c>
      <c r="I75" s="7" t="n"/>
      <c r="J75" s="20" t="n"/>
      <c r="K75" s="7" t="n"/>
      <c r="L75" s="7" t="n"/>
      <c r="M75" s="7" t="n"/>
      <c r="N75" s="7" t="n"/>
      <c r="O75" s="6">
        <f>IF(G75="","",IF(IFERROR(VLOOKUP(G75,Materialen!$A$2:$I$39,4,0),"")="plaat",Instellingen!$B$4,Instellingen!$B$3))</f>
        <v/>
      </c>
      <c r="P75" s="5">
        <f>ROUND(N(H75)*IFERROR(IF(VLOOKUP(G75,Materialen!$A$2:$I$39,9,0)="",0,VLOOKUP(G75,Materialen!$A$2:$I$39,9,0)),0)*(1+N(O75))+N(J75)*IFERROR(IF(VLOOKUP(I75,Materialen!$A$2:$I$39,9,0)="",0,VLOOKUP(I75,Materialen!$A$2:$I$39,9,0)),0)*(1+N(O75))+N(L75)*IFERROR(IF(VLOOKUP(K75,Materialen!$A$2:$I$39,9,0)="",0,VLOOKUP(K75,Materialen!$A$2:$I$39,9,0)),0)+N(N75)*IFERROR(IF(VLOOKUP(M75,Materialen!$A$2:$I$39,9,0)="",0,VLOOKUP(M75,Materialen!$A$2:$I$39,9,0)),0),2)</f>
        <v/>
      </c>
      <c r="Q75" s="5">
        <f>IF(G75="",0,IF(IFERROR(VLOOKUP(G75,Materialen!$A$2:$I$39,5,0),"N")="J",ROUND(N(H75)*(1+N(O75))*Instellingen!$B$8,2),0))</f>
        <v/>
      </c>
      <c r="R75" s="18" t="n"/>
      <c r="S75" s="5">
        <f>ROUND(N(R75)/60*Instellingen!$B$9,2)</f>
        <v/>
      </c>
      <c r="T75" s="14" t="n"/>
      <c r="U75" s="5">
        <f>P75+Q75+S75+N(T75)</f>
        <v/>
      </c>
      <c r="V75" s="5">
        <f>IF(AC75&lt;&gt;"OK","",F75-U75)</f>
        <v/>
      </c>
      <c r="W75" s="6">
        <f>IF(OR(F75=0,AC75&lt;&gt;"OK"),"",V75/F75)</f>
        <v/>
      </c>
      <c r="X75" s="5">
        <f>IF(N(H75)&gt;0,F75/H75,"")</f>
        <v/>
      </c>
      <c r="Y75" s="5">
        <f>IF(N(H75)&gt;0,IFERROR(IF(VLOOKUP(G75,Materialen!$A$2:$I$39,9,0)="",0,VLOOKUP(G75,Materialen!$A$2:$I$39,9,0)),0),"")</f>
        <v/>
      </c>
      <c r="Z75" s="5">
        <f>ROUND(E75*F75,2)</f>
        <v/>
      </c>
      <c r="AA75" s="5">
        <f>IF(AC75&lt;&gt;"OK","",ROUND(E75*U75,2))</f>
        <v/>
      </c>
      <c r="AB75" s="5">
        <f>IF(AC75&lt;&gt;"OK","",Z75-AA75)</f>
        <v/>
      </c>
      <c r="AC75" s="7">
        <f>IF((IF(G75="",0,IF(IFERROR(IF(VLOOKUP(G75,Materialen!$A$2:$I$39,9,0)="",0,VLOOKUP(G75,Materialen!$A$2:$I$39,9,0)),0)=0,1,0))+IF(I75="",0,IF(IFERROR(IF(VLOOKUP(I75,Materialen!$A$2:$I$39,9,0)="",0,VLOOKUP(I75,Materialen!$A$2:$I$39,9,0)),0)=0,1,0))+IF(K75="",0,IF(IFERROR(IF(VLOOKUP(K75,Materialen!$A$2:$I$39,9,0)="",0,VLOOKUP(K75,Materialen!$A$2:$I$39,9,0)),0)=0,1,0))+IF(M75="",0,IF(IFERROR(IF(VLOOKUP(M75,Materialen!$A$2:$I$39,9,0)="",0,VLOOKUP(M75,Materialen!$A$2:$I$39,9,0)),0)=0,1,0)))&gt;0,"aankoopprijs ontbreekt",IF(AND(G75="",K75="",N(T75)=0,N(R75)=0),"kost invullen (arbeid/overig)","OK"))</f>
        <v/>
      </c>
      <c r="AD75" s="7" t="inlineStr">
        <is>
          <t>100 x A5</t>
        </is>
      </c>
    </row>
    <row r="76">
      <c r="A76" s="7" t="n">
        <v>75</v>
      </c>
      <c r="B76" s="7" t="inlineStr">
        <is>
          <t>Impression noir ou quadrichromie sur carton 2mm</t>
        </is>
      </c>
      <c r="C76" s="7" t="inlineStr">
        <is>
          <t>150 cartels</t>
        </is>
      </c>
      <c r="D76" s="7" t="inlineStr">
        <is>
          <t>150 cartels</t>
        </is>
      </c>
      <c r="E76" s="7" t="n">
        <v>5</v>
      </c>
      <c r="F76" s="5" t="n">
        <v>205</v>
      </c>
      <c r="G76" s="7" t="inlineStr">
        <is>
          <t>M36</t>
        </is>
      </c>
      <c r="H76" s="20" t="n">
        <v>4.662</v>
      </c>
      <c r="I76" s="7" t="n"/>
      <c r="J76" s="20" t="n"/>
      <c r="K76" s="7" t="n"/>
      <c r="L76" s="7" t="n"/>
      <c r="M76" s="7" t="n"/>
      <c r="N76" s="7" t="n"/>
      <c r="O76" s="6">
        <f>IF(G76="","",IF(IFERROR(VLOOKUP(G76,Materialen!$A$2:$I$39,4,0),"")="plaat",Instellingen!$B$4,Instellingen!$B$3))</f>
        <v/>
      </c>
      <c r="P76" s="5">
        <f>ROUND(N(H76)*IFERROR(IF(VLOOKUP(G76,Materialen!$A$2:$I$39,9,0)="",0,VLOOKUP(G76,Materialen!$A$2:$I$39,9,0)),0)*(1+N(O76))+N(J76)*IFERROR(IF(VLOOKUP(I76,Materialen!$A$2:$I$39,9,0)="",0,VLOOKUP(I76,Materialen!$A$2:$I$39,9,0)),0)*(1+N(O76))+N(L76)*IFERROR(IF(VLOOKUP(K76,Materialen!$A$2:$I$39,9,0)="",0,VLOOKUP(K76,Materialen!$A$2:$I$39,9,0)),0)+N(N76)*IFERROR(IF(VLOOKUP(M76,Materialen!$A$2:$I$39,9,0)="",0,VLOOKUP(M76,Materialen!$A$2:$I$39,9,0)),0),2)</f>
        <v/>
      </c>
      <c r="Q76" s="5">
        <f>IF(G76="",0,IF(IFERROR(VLOOKUP(G76,Materialen!$A$2:$I$39,5,0),"N")="J",ROUND(N(H76)*(1+N(O76))*Instellingen!$B$8,2),0))</f>
        <v/>
      </c>
      <c r="R76" s="18" t="n"/>
      <c r="S76" s="5">
        <f>ROUND(N(R76)/60*Instellingen!$B$9,2)</f>
        <v/>
      </c>
      <c r="T76" s="14" t="n"/>
      <c r="U76" s="5">
        <f>P76+Q76+S76+N(T76)</f>
        <v/>
      </c>
      <c r="V76" s="5">
        <f>IF(AC76&lt;&gt;"OK","",F76-U76)</f>
        <v/>
      </c>
      <c r="W76" s="6">
        <f>IF(OR(F76=0,AC76&lt;&gt;"OK"),"",V76/F76)</f>
        <v/>
      </c>
      <c r="X76" s="5">
        <f>IF(N(H76)&gt;0,F76/H76,"")</f>
        <v/>
      </c>
      <c r="Y76" s="5">
        <f>IF(N(H76)&gt;0,IFERROR(IF(VLOOKUP(G76,Materialen!$A$2:$I$39,9,0)="",0,VLOOKUP(G76,Materialen!$A$2:$I$39,9,0)),0),"")</f>
        <v/>
      </c>
      <c r="Z76" s="5">
        <f>ROUND(E76*F76,2)</f>
        <v/>
      </c>
      <c r="AA76" s="5">
        <f>IF(AC76&lt;&gt;"OK","",ROUND(E76*U76,2))</f>
        <v/>
      </c>
      <c r="AB76" s="5">
        <f>IF(AC76&lt;&gt;"OK","",Z76-AA76)</f>
        <v/>
      </c>
      <c r="AC76" s="7">
        <f>IF((IF(G76="",0,IF(IFERROR(IF(VLOOKUP(G76,Materialen!$A$2:$I$39,9,0)="",0,VLOOKUP(G76,Materialen!$A$2:$I$39,9,0)),0)=0,1,0))+IF(I76="",0,IF(IFERROR(IF(VLOOKUP(I76,Materialen!$A$2:$I$39,9,0)="",0,VLOOKUP(I76,Materialen!$A$2:$I$39,9,0)),0)=0,1,0))+IF(K76="",0,IF(IFERROR(IF(VLOOKUP(K76,Materialen!$A$2:$I$39,9,0)="",0,VLOOKUP(K76,Materialen!$A$2:$I$39,9,0)),0)=0,1,0))+IF(M76="",0,IF(IFERROR(IF(VLOOKUP(M76,Materialen!$A$2:$I$39,9,0)="",0,VLOOKUP(M76,Materialen!$A$2:$I$39,9,0)),0)=0,1,0)))&gt;0,"aankoopprijs ontbreekt",IF(AND(G76="",K76="",N(T76)=0,N(R76)=0),"kost invullen (arbeid/overig)","OK"))</f>
        <v/>
      </c>
      <c r="AD76" s="7" t="inlineStr">
        <is>
          <t>150 x A5</t>
        </is>
      </c>
    </row>
    <row r="77">
      <c r="A77" s="7" t="n">
        <v>76</v>
      </c>
      <c r="B77" s="7" t="inlineStr">
        <is>
          <t>Impression noir ou quadrichromie sur carton 2mm</t>
        </is>
      </c>
      <c r="C77" s="7" t="inlineStr">
        <is>
          <t>200 cartels</t>
        </is>
      </c>
      <c r="D77" s="7" t="inlineStr">
        <is>
          <t>200 cartels</t>
        </is>
      </c>
      <c r="E77" s="7" t="n">
        <v>5</v>
      </c>
      <c r="F77" s="5" t="n">
        <v>255</v>
      </c>
      <c r="G77" s="7" t="inlineStr">
        <is>
          <t>M36</t>
        </is>
      </c>
      <c r="H77" s="20" t="n">
        <v>6.216</v>
      </c>
      <c r="I77" s="7" t="n"/>
      <c r="J77" s="20" t="n"/>
      <c r="K77" s="7" t="n"/>
      <c r="L77" s="7" t="n"/>
      <c r="M77" s="7" t="n"/>
      <c r="N77" s="7" t="n"/>
      <c r="O77" s="6">
        <f>IF(G77="","",IF(IFERROR(VLOOKUP(G77,Materialen!$A$2:$I$39,4,0),"")="plaat",Instellingen!$B$4,Instellingen!$B$3))</f>
        <v/>
      </c>
      <c r="P77" s="5">
        <f>ROUND(N(H77)*IFERROR(IF(VLOOKUP(G77,Materialen!$A$2:$I$39,9,0)="",0,VLOOKUP(G77,Materialen!$A$2:$I$39,9,0)),0)*(1+N(O77))+N(J77)*IFERROR(IF(VLOOKUP(I77,Materialen!$A$2:$I$39,9,0)="",0,VLOOKUP(I77,Materialen!$A$2:$I$39,9,0)),0)*(1+N(O77))+N(L77)*IFERROR(IF(VLOOKUP(K77,Materialen!$A$2:$I$39,9,0)="",0,VLOOKUP(K77,Materialen!$A$2:$I$39,9,0)),0)+N(N77)*IFERROR(IF(VLOOKUP(M77,Materialen!$A$2:$I$39,9,0)="",0,VLOOKUP(M77,Materialen!$A$2:$I$39,9,0)),0),2)</f>
        <v/>
      </c>
      <c r="Q77" s="5">
        <f>IF(G77="",0,IF(IFERROR(VLOOKUP(G77,Materialen!$A$2:$I$39,5,0),"N")="J",ROUND(N(H77)*(1+N(O77))*Instellingen!$B$8,2),0))</f>
        <v/>
      </c>
      <c r="R77" s="18" t="n"/>
      <c r="S77" s="5">
        <f>ROUND(N(R77)/60*Instellingen!$B$9,2)</f>
        <v/>
      </c>
      <c r="T77" s="14" t="n"/>
      <c r="U77" s="5">
        <f>P77+Q77+S77+N(T77)</f>
        <v/>
      </c>
      <c r="V77" s="5">
        <f>IF(AC77&lt;&gt;"OK","",F77-U77)</f>
        <v/>
      </c>
      <c r="W77" s="6">
        <f>IF(OR(F77=0,AC77&lt;&gt;"OK"),"",V77/F77)</f>
        <v/>
      </c>
      <c r="X77" s="5">
        <f>IF(N(H77)&gt;0,F77/H77,"")</f>
        <v/>
      </c>
      <c r="Y77" s="5">
        <f>IF(N(H77)&gt;0,IFERROR(IF(VLOOKUP(G77,Materialen!$A$2:$I$39,9,0)="",0,VLOOKUP(G77,Materialen!$A$2:$I$39,9,0)),0),"")</f>
        <v/>
      </c>
      <c r="Z77" s="5">
        <f>ROUND(E77*F77,2)</f>
        <v/>
      </c>
      <c r="AA77" s="5">
        <f>IF(AC77&lt;&gt;"OK","",ROUND(E77*U77,2))</f>
        <v/>
      </c>
      <c r="AB77" s="5">
        <f>IF(AC77&lt;&gt;"OK","",Z77-AA77)</f>
        <v/>
      </c>
      <c r="AC77" s="7">
        <f>IF((IF(G77="",0,IF(IFERROR(IF(VLOOKUP(G77,Materialen!$A$2:$I$39,9,0)="",0,VLOOKUP(G77,Materialen!$A$2:$I$39,9,0)),0)=0,1,0))+IF(I77="",0,IF(IFERROR(IF(VLOOKUP(I77,Materialen!$A$2:$I$39,9,0)="",0,VLOOKUP(I77,Materialen!$A$2:$I$39,9,0)),0)=0,1,0))+IF(K77="",0,IF(IFERROR(IF(VLOOKUP(K77,Materialen!$A$2:$I$39,9,0)="",0,VLOOKUP(K77,Materialen!$A$2:$I$39,9,0)),0)=0,1,0))+IF(M77="",0,IF(IFERROR(IF(VLOOKUP(M77,Materialen!$A$2:$I$39,9,0)="",0,VLOOKUP(M77,Materialen!$A$2:$I$39,9,0)),0)=0,1,0)))&gt;0,"aankoopprijs ontbreekt",IF(AND(G77="",K77="",N(T77)=0,N(R77)=0),"kost invullen (arbeid/overig)","OK"))</f>
        <v/>
      </c>
      <c r="AD77" s="7" t="inlineStr">
        <is>
          <t>200 x A5</t>
        </is>
      </c>
    </row>
    <row r="78">
      <c r="A78" s="7" t="n">
        <v>77</v>
      </c>
      <c r="B78" s="7" t="inlineStr">
        <is>
          <t>Impression noir ou quadrichromie sur carton 2mm</t>
        </is>
      </c>
      <c r="C78" s="7" t="inlineStr">
        <is>
          <t>qté supplém. +10</t>
        </is>
      </c>
      <c r="D78" s="7" t="inlineStr">
        <is>
          <t>10 quantités supplémentaires</t>
        </is>
      </c>
      <c r="E78" s="7" t="n">
        <v>5</v>
      </c>
      <c r="F78" s="5" t="n">
        <v>12</v>
      </c>
      <c r="G78" s="7" t="inlineStr">
        <is>
          <t>M36</t>
        </is>
      </c>
      <c r="H78" s="20" t="n">
        <v>0.3108</v>
      </c>
      <c r="I78" s="7" t="n"/>
      <c r="J78" s="20" t="n"/>
      <c r="K78" s="7" t="n"/>
      <c r="L78" s="7" t="n"/>
      <c r="M78" s="7" t="n"/>
      <c r="N78" s="7" t="n"/>
      <c r="O78" s="6">
        <f>IF(G78="","",IF(IFERROR(VLOOKUP(G78,Materialen!$A$2:$I$39,4,0),"")="plaat",Instellingen!$B$4,Instellingen!$B$3))</f>
        <v/>
      </c>
      <c r="P78" s="5">
        <f>ROUND(N(H78)*IFERROR(IF(VLOOKUP(G78,Materialen!$A$2:$I$39,9,0)="",0,VLOOKUP(G78,Materialen!$A$2:$I$39,9,0)),0)*(1+N(O78))+N(J78)*IFERROR(IF(VLOOKUP(I78,Materialen!$A$2:$I$39,9,0)="",0,VLOOKUP(I78,Materialen!$A$2:$I$39,9,0)),0)*(1+N(O78))+N(L78)*IFERROR(IF(VLOOKUP(K78,Materialen!$A$2:$I$39,9,0)="",0,VLOOKUP(K78,Materialen!$A$2:$I$39,9,0)),0)+N(N78)*IFERROR(IF(VLOOKUP(M78,Materialen!$A$2:$I$39,9,0)="",0,VLOOKUP(M78,Materialen!$A$2:$I$39,9,0)),0),2)</f>
        <v/>
      </c>
      <c r="Q78" s="5">
        <f>IF(G78="",0,IF(IFERROR(VLOOKUP(G78,Materialen!$A$2:$I$39,5,0),"N")="J",ROUND(N(H78)*(1+N(O78))*Instellingen!$B$8,2),0))</f>
        <v/>
      </c>
      <c r="R78" s="18" t="n"/>
      <c r="S78" s="5">
        <f>ROUND(N(R78)/60*Instellingen!$B$9,2)</f>
        <v/>
      </c>
      <c r="T78" s="14" t="n"/>
      <c r="U78" s="5">
        <f>P78+Q78+S78+N(T78)</f>
        <v/>
      </c>
      <c r="V78" s="5">
        <f>IF(AC78&lt;&gt;"OK","",F78-U78)</f>
        <v/>
      </c>
      <c r="W78" s="6">
        <f>IF(OR(F78=0,AC78&lt;&gt;"OK"),"",V78/F78)</f>
        <v/>
      </c>
      <c r="X78" s="5">
        <f>IF(N(H78)&gt;0,F78/H78,"")</f>
        <v/>
      </c>
      <c r="Y78" s="5">
        <f>IF(N(H78)&gt;0,IFERROR(IF(VLOOKUP(G78,Materialen!$A$2:$I$39,9,0)="",0,VLOOKUP(G78,Materialen!$A$2:$I$39,9,0)),0),"")</f>
        <v/>
      </c>
      <c r="Z78" s="5">
        <f>ROUND(E78*F78,2)</f>
        <v/>
      </c>
      <c r="AA78" s="5">
        <f>IF(AC78&lt;&gt;"OK","",ROUND(E78*U78,2))</f>
        <v/>
      </c>
      <c r="AB78" s="5">
        <f>IF(AC78&lt;&gt;"OK","",Z78-AA78)</f>
        <v/>
      </c>
      <c r="AC78" s="7">
        <f>IF((IF(G78="",0,IF(IFERROR(IF(VLOOKUP(G78,Materialen!$A$2:$I$39,9,0)="",0,VLOOKUP(G78,Materialen!$A$2:$I$39,9,0)),0)=0,1,0))+IF(I78="",0,IF(IFERROR(IF(VLOOKUP(I78,Materialen!$A$2:$I$39,9,0)="",0,VLOOKUP(I78,Materialen!$A$2:$I$39,9,0)),0)=0,1,0))+IF(K78="",0,IF(IFERROR(IF(VLOOKUP(K78,Materialen!$A$2:$I$39,9,0)="",0,VLOOKUP(K78,Materialen!$A$2:$I$39,9,0)),0)=0,1,0))+IF(M78="",0,IF(IFERROR(IF(VLOOKUP(M78,Materialen!$A$2:$I$39,9,0)="",0,VLOOKUP(M78,Materialen!$A$2:$I$39,9,0)),0)=0,1,0)))&gt;0,"aankoopprijs ontbreekt",IF(AND(G78="",K78="",N(T78)=0,N(R78)=0),"kost invullen (arbeid/overig)","OK"))</f>
        <v/>
      </c>
      <c r="AD78" s="7" t="inlineStr">
        <is>
          <t>10 x A5</t>
        </is>
      </c>
    </row>
    <row r="79">
      <c r="A79" s="7" t="n">
        <v>78</v>
      </c>
      <c r="B79" s="7" t="inlineStr">
        <is>
          <t>Impression digitale quadrichromie sur vinyle autocollant monomère pour l'intérieur</t>
        </is>
      </c>
      <c r="C79" s="7" t="inlineStr">
        <is>
          <t>&gt;= A2 et &lt;= 1 m²</t>
        </is>
      </c>
      <c r="D79" s="7" t="inlineStr">
        <is>
          <t>m²</t>
        </is>
      </c>
      <c r="E79" s="7" t="n">
        <v>5</v>
      </c>
      <c r="F79" s="5" t="n">
        <v>34</v>
      </c>
      <c r="G79" s="7" t="inlineStr">
        <is>
          <t>M15</t>
        </is>
      </c>
      <c r="H79" s="20" t="n">
        <v>1</v>
      </c>
      <c r="I79" s="7" t="n"/>
      <c r="J79" s="20" t="n"/>
      <c r="K79" s="7" t="n"/>
      <c r="L79" s="7" t="n"/>
      <c r="M79" s="7" t="n"/>
      <c r="N79" s="7" t="n"/>
      <c r="O79" s="6">
        <f>IF(G79="","",IF(IFERROR(VLOOKUP(G79,Materialen!$A$2:$I$39,4,0),"")="plaat",Instellingen!$B$4,Instellingen!$B$3))</f>
        <v/>
      </c>
      <c r="P79" s="5">
        <f>ROUND(N(H79)*IFERROR(IF(VLOOKUP(G79,Materialen!$A$2:$I$39,9,0)="",0,VLOOKUP(G79,Materialen!$A$2:$I$39,9,0)),0)*(1+N(O79))+N(J79)*IFERROR(IF(VLOOKUP(I79,Materialen!$A$2:$I$39,9,0)="",0,VLOOKUP(I79,Materialen!$A$2:$I$39,9,0)),0)*(1+N(O79))+N(L79)*IFERROR(IF(VLOOKUP(K79,Materialen!$A$2:$I$39,9,0)="",0,VLOOKUP(K79,Materialen!$A$2:$I$39,9,0)),0)+N(N79)*IFERROR(IF(VLOOKUP(M79,Materialen!$A$2:$I$39,9,0)="",0,VLOOKUP(M79,Materialen!$A$2:$I$39,9,0)),0),2)</f>
        <v/>
      </c>
      <c r="Q79" s="5">
        <f>IF(G79="",0,IF(IFERROR(VLOOKUP(G79,Materialen!$A$2:$I$39,5,0),"N")="J",ROUND(N(H79)*(1+N(O79))*Instellingen!$B$8,2),0))</f>
        <v/>
      </c>
      <c r="R79" s="18" t="n"/>
      <c r="S79" s="5">
        <f>ROUND(N(R79)/60*Instellingen!$B$9,2)</f>
        <v/>
      </c>
      <c r="T79" s="14" t="n"/>
      <c r="U79" s="5">
        <f>P79+Q79+S79+N(T79)</f>
        <v/>
      </c>
      <c r="V79" s="5">
        <f>IF(AC79&lt;&gt;"OK","",F79-U79)</f>
        <v/>
      </c>
      <c r="W79" s="6">
        <f>IF(OR(F79=0,AC79&lt;&gt;"OK"),"",V79/F79)</f>
        <v/>
      </c>
      <c r="X79" s="5">
        <f>IF(N(H79)&gt;0,F79/H79,"")</f>
        <v/>
      </c>
      <c r="Y79" s="5">
        <f>IF(N(H79)&gt;0,IFERROR(IF(VLOOKUP(G79,Materialen!$A$2:$I$39,9,0)="",0,VLOOKUP(G79,Materialen!$A$2:$I$39,9,0)),0),"")</f>
        <v/>
      </c>
      <c r="Z79" s="5">
        <f>ROUND(E79*F79,2)</f>
        <v/>
      </c>
      <c r="AA79" s="5">
        <f>IF(AC79&lt;&gt;"OK","",ROUND(E79*U79,2))</f>
        <v/>
      </c>
      <c r="AB79" s="5">
        <f>IF(AC79&lt;&gt;"OK","",Z79-AA79)</f>
        <v/>
      </c>
      <c r="AC79" s="7">
        <f>IF((IF(G79="",0,IF(IFERROR(IF(VLOOKUP(G79,Materialen!$A$2:$I$39,9,0)="",0,VLOOKUP(G79,Materialen!$A$2:$I$39,9,0)),0)=0,1,0))+IF(I79="",0,IF(IFERROR(IF(VLOOKUP(I79,Materialen!$A$2:$I$39,9,0)="",0,VLOOKUP(I79,Materialen!$A$2:$I$39,9,0)),0)=0,1,0))+IF(K79="",0,IF(IFERROR(IF(VLOOKUP(K79,Materialen!$A$2:$I$39,9,0)="",0,VLOOKUP(K79,Materialen!$A$2:$I$39,9,0)),0)=0,1,0))+IF(M79="",0,IF(IFERROR(IF(VLOOKUP(M79,Materialen!$A$2:$I$39,9,0)="",0,VLOOKUP(M79,Materialen!$A$2:$I$39,9,0)),0)=0,1,0)))&gt;0,"aankoopprijs ontbreekt",IF(AND(G79="",K79="",N(T79)=0,N(R79)=0),"kost invullen (arbeid/overig)","OK"))</f>
        <v/>
      </c>
      <c r="AD79" s="7" t="inlineStr"/>
    </row>
    <row r="80">
      <c r="A80" s="7" t="n">
        <v>79</v>
      </c>
      <c r="B80" s="7" t="inlineStr">
        <is>
          <t>Impression digitale quadrichromie sur vinyle autocollant monomère pour l'intérieur</t>
        </is>
      </c>
      <c r="C80" s="7" t="inlineStr">
        <is>
          <t>&gt; 1 m² et &lt;= 2 m²</t>
        </is>
      </c>
      <c r="D80" s="7" t="inlineStr">
        <is>
          <t>m²</t>
        </is>
      </c>
      <c r="E80" s="7" t="n">
        <v>5</v>
      </c>
      <c r="F80" s="5" t="n">
        <v>30</v>
      </c>
      <c r="G80" s="7" t="inlineStr">
        <is>
          <t>M15</t>
        </is>
      </c>
      <c r="H80" s="20" t="n">
        <v>1</v>
      </c>
      <c r="I80" s="7" t="n"/>
      <c r="J80" s="20" t="n"/>
      <c r="K80" s="7" t="n"/>
      <c r="L80" s="7" t="n"/>
      <c r="M80" s="7" t="n"/>
      <c r="N80" s="7" t="n"/>
      <c r="O80" s="6">
        <f>IF(G80="","",IF(IFERROR(VLOOKUP(G80,Materialen!$A$2:$I$39,4,0),"")="plaat",Instellingen!$B$4,Instellingen!$B$3))</f>
        <v/>
      </c>
      <c r="P80" s="5">
        <f>ROUND(N(H80)*IFERROR(IF(VLOOKUP(G80,Materialen!$A$2:$I$39,9,0)="",0,VLOOKUP(G80,Materialen!$A$2:$I$39,9,0)),0)*(1+N(O80))+N(J80)*IFERROR(IF(VLOOKUP(I80,Materialen!$A$2:$I$39,9,0)="",0,VLOOKUP(I80,Materialen!$A$2:$I$39,9,0)),0)*(1+N(O80))+N(L80)*IFERROR(IF(VLOOKUP(K80,Materialen!$A$2:$I$39,9,0)="",0,VLOOKUP(K80,Materialen!$A$2:$I$39,9,0)),0)+N(N80)*IFERROR(IF(VLOOKUP(M80,Materialen!$A$2:$I$39,9,0)="",0,VLOOKUP(M80,Materialen!$A$2:$I$39,9,0)),0),2)</f>
        <v/>
      </c>
      <c r="Q80" s="5">
        <f>IF(G80="",0,IF(IFERROR(VLOOKUP(G80,Materialen!$A$2:$I$39,5,0),"N")="J",ROUND(N(H80)*(1+N(O80))*Instellingen!$B$8,2),0))</f>
        <v/>
      </c>
      <c r="R80" s="18" t="n"/>
      <c r="S80" s="5">
        <f>ROUND(N(R80)/60*Instellingen!$B$9,2)</f>
        <v/>
      </c>
      <c r="T80" s="14" t="n"/>
      <c r="U80" s="5">
        <f>P80+Q80+S80+N(T80)</f>
        <v/>
      </c>
      <c r="V80" s="5">
        <f>IF(AC80&lt;&gt;"OK","",F80-U80)</f>
        <v/>
      </c>
      <c r="W80" s="6">
        <f>IF(OR(F80=0,AC80&lt;&gt;"OK"),"",V80/F80)</f>
        <v/>
      </c>
      <c r="X80" s="5">
        <f>IF(N(H80)&gt;0,F80/H80,"")</f>
        <v/>
      </c>
      <c r="Y80" s="5">
        <f>IF(N(H80)&gt;0,IFERROR(IF(VLOOKUP(G80,Materialen!$A$2:$I$39,9,0)="",0,VLOOKUP(G80,Materialen!$A$2:$I$39,9,0)),0),"")</f>
        <v/>
      </c>
      <c r="Z80" s="5">
        <f>ROUND(E80*F80,2)</f>
        <v/>
      </c>
      <c r="AA80" s="5">
        <f>IF(AC80&lt;&gt;"OK","",ROUND(E80*U80,2))</f>
        <v/>
      </c>
      <c r="AB80" s="5">
        <f>IF(AC80&lt;&gt;"OK","",Z80-AA80)</f>
        <v/>
      </c>
      <c r="AC80" s="7">
        <f>IF((IF(G80="",0,IF(IFERROR(IF(VLOOKUP(G80,Materialen!$A$2:$I$39,9,0)="",0,VLOOKUP(G80,Materialen!$A$2:$I$39,9,0)),0)=0,1,0))+IF(I80="",0,IF(IFERROR(IF(VLOOKUP(I80,Materialen!$A$2:$I$39,9,0)="",0,VLOOKUP(I80,Materialen!$A$2:$I$39,9,0)),0)=0,1,0))+IF(K80="",0,IF(IFERROR(IF(VLOOKUP(K80,Materialen!$A$2:$I$39,9,0)="",0,VLOOKUP(K80,Materialen!$A$2:$I$39,9,0)),0)=0,1,0))+IF(M80="",0,IF(IFERROR(IF(VLOOKUP(M80,Materialen!$A$2:$I$39,9,0)="",0,VLOOKUP(M80,Materialen!$A$2:$I$39,9,0)),0)=0,1,0)))&gt;0,"aankoopprijs ontbreekt",IF(AND(G80="",K80="",N(T80)=0,N(R80)=0),"kost invullen (arbeid/overig)","OK"))</f>
        <v/>
      </c>
      <c r="AD80" s="7" t="inlineStr"/>
    </row>
    <row r="81">
      <c r="A81" s="7" t="n">
        <v>80</v>
      </c>
      <c r="B81" s="7" t="inlineStr">
        <is>
          <t>Impression digitale quadrichromie sur vinyle autocollant monomère pour l'intérieur</t>
        </is>
      </c>
      <c r="C81" s="7" t="inlineStr">
        <is>
          <t>&gt; 2 m² et &lt;= 5 m²</t>
        </is>
      </c>
      <c r="D81" s="7" t="inlineStr">
        <is>
          <t>m²</t>
        </is>
      </c>
      <c r="E81" s="7" t="n">
        <v>5</v>
      </c>
      <c r="F81" s="5" t="n">
        <v>27</v>
      </c>
      <c r="G81" s="7" t="inlineStr">
        <is>
          <t>M15</t>
        </is>
      </c>
      <c r="H81" s="20" t="n">
        <v>1</v>
      </c>
      <c r="I81" s="7" t="n"/>
      <c r="J81" s="20" t="n"/>
      <c r="K81" s="7" t="n"/>
      <c r="L81" s="7" t="n"/>
      <c r="M81" s="7" t="n"/>
      <c r="N81" s="7" t="n"/>
      <c r="O81" s="6">
        <f>IF(G81="","",IF(IFERROR(VLOOKUP(G81,Materialen!$A$2:$I$39,4,0),"")="plaat",Instellingen!$B$4,Instellingen!$B$3))</f>
        <v/>
      </c>
      <c r="P81" s="5">
        <f>ROUND(N(H81)*IFERROR(IF(VLOOKUP(G81,Materialen!$A$2:$I$39,9,0)="",0,VLOOKUP(G81,Materialen!$A$2:$I$39,9,0)),0)*(1+N(O81))+N(J81)*IFERROR(IF(VLOOKUP(I81,Materialen!$A$2:$I$39,9,0)="",0,VLOOKUP(I81,Materialen!$A$2:$I$39,9,0)),0)*(1+N(O81))+N(L81)*IFERROR(IF(VLOOKUP(K81,Materialen!$A$2:$I$39,9,0)="",0,VLOOKUP(K81,Materialen!$A$2:$I$39,9,0)),0)+N(N81)*IFERROR(IF(VLOOKUP(M81,Materialen!$A$2:$I$39,9,0)="",0,VLOOKUP(M81,Materialen!$A$2:$I$39,9,0)),0),2)</f>
        <v/>
      </c>
      <c r="Q81" s="5">
        <f>IF(G81="",0,IF(IFERROR(VLOOKUP(G81,Materialen!$A$2:$I$39,5,0),"N")="J",ROUND(N(H81)*(1+N(O81))*Instellingen!$B$8,2),0))</f>
        <v/>
      </c>
      <c r="R81" s="18" t="n"/>
      <c r="S81" s="5">
        <f>ROUND(N(R81)/60*Instellingen!$B$9,2)</f>
        <v/>
      </c>
      <c r="T81" s="14" t="n"/>
      <c r="U81" s="5">
        <f>P81+Q81+S81+N(T81)</f>
        <v/>
      </c>
      <c r="V81" s="5">
        <f>IF(AC81&lt;&gt;"OK","",F81-U81)</f>
        <v/>
      </c>
      <c r="W81" s="6">
        <f>IF(OR(F81=0,AC81&lt;&gt;"OK"),"",V81/F81)</f>
        <v/>
      </c>
      <c r="X81" s="5">
        <f>IF(N(H81)&gt;0,F81/H81,"")</f>
        <v/>
      </c>
      <c r="Y81" s="5">
        <f>IF(N(H81)&gt;0,IFERROR(IF(VLOOKUP(G81,Materialen!$A$2:$I$39,9,0)="",0,VLOOKUP(G81,Materialen!$A$2:$I$39,9,0)),0),"")</f>
        <v/>
      </c>
      <c r="Z81" s="5">
        <f>ROUND(E81*F81,2)</f>
        <v/>
      </c>
      <c r="AA81" s="5">
        <f>IF(AC81&lt;&gt;"OK","",ROUND(E81*U81,2))</f>
        <v/>
      </c>
      <c r="AB81" s="5">
        <f>IF(AC81&lt;&gt;"OK","",Z81-AA81)</f>
        <v/>
      </c>
      <c r="AC81" s="7">
        <f>IF((IF(G81="",0,IF(IFERROR(IF(VLOOKUP(G81,Materialen!$A$2:$I$39,9,0)="",0,VLOOKUP(G81,Materialen!$A$2:$I$39,9,0)),0)=0,1,0))+IF(I81="",0,IF(IFERROR(IF(VLOOKUP(I81,Materialen!$A$2:$I$39,9,0)="",0,VLOOKUP(I81,Materialen!$A$2:$I$39,9,0)),0)=0,1,0))+IF(K81="",0,IF(IFERROR(IF(VLOOKUP(K81,Materialen!$A$2:$I$39,9,0)="",0,VLOOKUP(K81,Materialen!$A$2:$I$39,9,0)),0)=0,1,0))+IF(M81="",0,IF(IFERROR(IF(VLOOKUP(M81,Materialen!$A$2:$I$39,9,0)="",0,VLOOKUP(M81,Materialen!$A$2:$I$39,9,0)),0)=0,1,0)))&gt;0,"aankoopprijs ontbreekt",IF(AND(G81="",K81="",N(T81)=0,N(R81)=0),"kost invullen (arbeid/overig)","OK"))</f>
        <v/>
      </c>
      <c r="AD81" s="7" t="inlineStr"/>
    </row>
    <row r="82">
      <c r="A82" s="7" t="n">
        <v>81</v>
      </c>
      <c r="B82" s="7" t="inlineStr">
        <is>
          <t>Impression digitale quadrichromie sur vinyle autocollant monomère pour l'intérieur</t>
        </is>
      </c>
      <c r="C82" s="7" t="inlineStr">
        <is>
          <t>&gt; 5 m² et &lt;= 10 m²</t>
        </is>
      </c>
      <c r="D82" s="7" t="inlineStr">
        <is>
          <t>m²</t>
        </is>
      </c>
      <c r="E82" s="7" t="n">
        <v>5</v>
      </c>
      <c r="F82" s="5" t="n">
        <v>24</v>
      </c>
      <c r="G82" s="7" t="inlineStr">
        <is>
          <t>M15</t>
        </is>
      </c>
      <c r="H82" s="20" t="n">
        <v>1</v>
      </c>
      <c r="I82" s="7" t="n"/>
      <c r="J82" s="20" t="n"/>
      <c r="K82" s="7" t="n"/>
      <c r="L82" s="7" t="n"/>
      <c r="M82" s="7" t="n"/>
      <c r="N82" s="7" t="n"/>
      <c r="O82" s="6">
        <f>IF(G82="","",IF(IFERROR(VLOOKUP(G82,Materialen!$A$2:$I$39,4,0),"")="plaat",Instellingen!$B$4,Instellingen!$B$3))</f>
        <v/>
      </c>
      <c r="P82" s="5">
        <f>ROUND(N(H82)*IFERROR(IF(VLOOKUP(G82,Materialen!$A$2:$I$39,9,0)="",0,VLOOKUP(G82,Materialen!$A$2:$I$39,9,0)),0)*(1+N(O82))+N(J82)*IFERROR(IF(VLOOKUP(I82,Materialen!$A$2:$I$39,9,0)="",0,VLOOKUP(I82,Materialen!$A$2:$I$39,9,0)),0)*(1+N(O82))+N(L82)*IFERROR(IF(VLOOKUP(K82,Materialen!$A$2:$I$39,9,0)="",0,VLOOKUP(K82,Materialen!$A$2:$I$39,9,0)),0)+N(N82)*IFERROR(IF(VLOOKUP(M82,Materialen!$A$2:$I$39,9,0)="",0,VLOOKUP(M82,Materialen!$A$2:$I$39,9,0)),0),2)</f>
        <v/>
      </c>
      <c r="Q82" s="5">
        <f>IF(G82="",0,IF(IFERROR(VLOOKUP(G82,Materialen!$A$2:$I$39,5,0),"N")="J",ROUND(N(H82)*(1+N(O82))*Instellingen!$B$8,2),0))</f>
        <v/>
      </c>
      <c r="R82" s="18" t="n"/>
      <c r="S82" s="5">
        <f>ROUND(N(R82)/60*Instellingen!$B$9,2)</f>
        <v/>
      </c>
      <c r="T82" s="14" t="n"/>
      <c r="U82" s="5">
        <f>P82+Q82+S82+N(T82)</f>
        <v/>
      </c>
      <c r="V82" s="5">
        <f>IF(AC82&lt;&gt;"OK","",F82-U82)</f>
        <v/>
      </c>
      <c r="W82" s="6">
        <f>IF(OR(F82=0,AC82&lt;&gt;"OK"),"",V82/F82)</f>
        <v/>
      </c>
      <c r="X82" s="5">
        <f>IF(N(H82)&gt;0,F82/H82,"")</f>
        <v/>
      </c>
      <c r="Y82" s="5">
        <f>IF(N(H82)&gt;0,IFERROR(IF(VLOOKUP(G82,Materialen!$A$2:$I$39,9,0)="",0,VLOOKUP(G82,Materialen!$A$2:$I$39,9,0)),0),"")</f>
        <v/>
      </c>
      <c r="Z82" s="5">
        <f>ROUND(E82*F82,2)</f>
        <v/>
      </c>
      <c r="AA82" s="5">
        <f>IF(AC82&lt;&gt;"OK","",ROUND(E82*U82,2))</f>
        <v/>
      </c>
      <c r="AB82" s="5">
        <f>IF(AC82&lt;&gt;"OK","",Z82-AA82)</f>
        <v/>
      </c>
      <c r="AC82" s="7">
        <f>IF((IF(G82="",0,IF(IFERROR(IF(VLOOKUP(G82,Materialen!$A$2:$I$39,9,0)="",0,VLOOKUP(G82,Materialen!$A$2:$I$39,9,0)),0)=0,1,0))+IF(I82="",0,IF(IFERROR(IF(VLOOKUP(I82,Materialen!$A$2:$I$39,9,0)="",0,VLOOKUP(I82,Materialen!$A$2:$I$39,9,0)),0)=0,1,0))+IF(K82="",0,IF(IFERROR(IF(VLOOKUP(K82,Materialen!$A$2:$I$39,9,0)="",0,VLOOKUP(K82,Materialen!$A$2:$I$39,9,0)),0)=0,1,0))+IF(M82="",0,IF(IFERROR(IF(VLOOKUP(M82,Materialen!$A$2:$I$39,9,0)="",0,VLOOKUP(M82,Materialen!$A$2:$I$39,9,0)),0)=0,1,0)))&gt;0,"aankoopprijs ontbreekt",IF(AND(G82="",K82="",N(T82)=0,N(R82)=0),"kost invullen (arbeid/overig)","OK"))</f>
        <v/>
      </c>
      <c r="AD82" s="7" t="inlineStr"/>
    </row>
    <row r="83">
      <c r="A83" s="7" t="n">
        <v>82</v>
      </c>
      <c r="B83" s="7" t="inlineStr">
        <is>
          <t>Impression digitale quadrichromie sur vinyle autocollant monomère pour l'intérieur</t>
        </is>
      </c>
      <c r="C83" s="7" t="inlineStr">
        <is>
          <t>&gt; 10 m² et &lt;= 25 m²</t>
        </is>
      </c>
      <c r="D83" s="7" t="inlineStr">
        <is>
          <t>m²</t>
        </is>
      </c>
      <c r="E83" s="7" t="n">
        <v>5</v>
      </c>
      <c r="F83" s="5" t="n">
        <v>22</v>
      </c>
      <c r="G83" s="7" t="inlineStr">
        <is>
          <t>M15</t>
        </is>
      </c>
      <c r="H83" s="20" t="n">
        <v>1</v>
      </c>
      <c r="I83" s="7" t="n"/>
      <c r="J83" s="20" t="n"/>
      <c r="K83" s="7" t="n"/>
      <c r="L83" s="7" t="n"/>
      <c r="M83" s="7" t="n"/>
      <c r="N83" s="7" t="n"/>
      <c r="O83" s="6">
        <f>IF(G83="","",IF(IFERROR(VLOOKUP(G83,Materialen!$A$2:$I$39,4,0),"")="plaat",Instellingen!$B$4,Instellingen!$B$3))</f>
        <v/>
      </c>
      <c r="P83" s="5">
        <f>ROUND(N(H83)*IFERROR(IF(VLOOKUP(G83,Materialen!$A$2:$I$39,9,0)="",0,VLOOKUP(G83,Materialen!$A$2:$I$39,9,0)),0)*(1+N(O83))+N(J83)*IFERROR(IF(VLOOKUP(I83,Materialen!$A$2:$I$39,9,0)="",0,VLOOKUP(I83,Materialen!$A$2:$I$39,9,0)),0)*(1+N(O83))+N(L83)*IFERROR(IF(VLOOKUP(K83,Materialen!$A$2:$I$39,9,0)="",0,VLOOKUP(K83,Materialen!$A$2:$I$39,9,0)),0)+N(N83)*IFERROR(IF(VLOOKUP(M83,Materialen!$A$2:$I$39,9,0)="",0,VLOOKUP(M83,Materialen!$A$2:$I$39,9,0)),0),2)</f>
        <v/>
      </c>
      <c r="Q83" s="5">
        <f>IF(G83="",0,IF(IFERROR(VLOOKUP(G83,Materialen!$A$2:$I$39,5,0),"N")="J",ROUND(N(H83)*(1+N(O83))*Instellingen!$B$8,2),0))</f>
        <v/>
      </c>
      <c r="R83" s="18" t="n"/>
      <c r="S83" s="5">
        <f>ROUND(N(R83)/60*Instellingen!$B$9,2)</f>
        <v/>
      </c>
      <c r="T83" s="14" t="n"/>
      <c r="U83" s="5">
        <f>P83+Q83+S83+N(T83)</f>
        <v/>
      </c>
      <c r="V83" s="5">
        <f>IF(AC83&lt;&gt;"OK","",F83-U83)</f>
        <v/>
      </c>
      <c r="W83" s="6">
        <f>IF(OR(F83=0,AC83&lt;&gt;"OK"),"",V83/F83)</f>
        <v/>
      </c>
      <c r="X83" s="5">
        <f>IF(N(H83)&gt;0,F83/H83,"")</f>
        <v/>
      </c>
      <c r="Y83" s="5">
        <f>IF(N(H83)&gt;0,IFERROR(IF(VLOOKUP(G83,Materialen!$A$2:$I$39,9,0)="",0,VLOOKUP(G83,Materialen!$A$2:$I$39,9,0)),0),"")</f>
        <v/>
      </c>
      <c r="Z83" s="5">
        <f>ROUND(E83*F83,2)</f>
        <v/>
      </c>
      <c r="AA83" s="5">
        <f>IF(AC83&lt;&gt;"OK","",ROUND(E83*U83,2))</f>
        <v/>
      </c>
      <c r="AB83" s="5">
        <f>IF(AC83&lt;&gt;"OK","",Z83-AA83)</f>
        <v/>
      </c>
      <c r="AC83" s="7">
        <f>IF((IF(G83="",0,IF(IFERROR(IF(VLOOKUP(G83,Materialen!$A$2:$I$39,9,0)="",0,VLOOKUP(G83,Materialen!$A$2:$I$39,9,0)),0)=0,1,0))+IF(I83="",0,IF(IFERROR(IF(VLOOKUP(I83,Materialen!$A$2:$I$39,9,0)="",0,VLOOKUP(I83,Materialen!$A$2:$I$39,9,0)),0)=0,1,0))+IF(K83="",0,IF(IFERROR(IF(VLOOKUP(K83,Materialen!$A$2:$I$39,9,0)="",0,VLOOKUP(K83,Materialen!$A$2:$I$39,9,0)),0)=0,1,0))+IF(M83="",0,IF(IFERROR(IF(VLOOKUP(M83,Materialen!$A$2:$I$39,9,0)="",0,VLOOKUP(M83,Materialen!$A$2:$I$39,9,0)),0)=0,1,0)))&gt;0,"aankoopprijs ontbreekt",IF(AND(G83="",K83="",N(T83)=0,N(R83)=0),"kost invullen (arbeid/overig)","OK"))</f>
        <v/>
      </c>
      <c r="AD83" s="7" t="inlineStr"/>
    </row>
    <row r="84">
      <c r="A84" s="7" t="n">
        <v>83</v>
      </c>
      <c r="B84" s="7" t="inlineStr">
        <is>
          <t>Impression digitale quadrichromie sur vinyle autocollant monomère pour l'intérieur</t>
        </is>
      </c>
      <c r="C84" s="7" t="inlineStr">
        <is>
          <t>&gt; 25 m²</t>
        </is>
      </c>
      <c r="D84" s="7" t="inlineStr">
        <is>
          <t>m²</t>
        </is>
      </c>
      <c r="E84" s="7" t="n">
        <v>5</v>
      </c>
      <c r="F84" s="5" t="n">
        <v>20</v>
      </c>
      <c r="G84" s="7" t="inlineStr">
        <is>
          <t>M15</t>
        </is>
      </c>
      <c r="H84" s="20" t="n">
        <v>1</v>
      </c>
      <c r="I84" s="7" t="n"/>
      <c r="J84" s="20" t="n"/>
      <c r="K84" s="7" t="n"/>
      <c r="L84" s="7" t="n"/>
      <c r="M84" s="7" t="n"/>
      <c r="N84" s="7" t="n"/>
      <c r="O84" s="6">
        <f>IF(G84="","",IF(IFERROR(VLOOKUP(G84,Materialen!$A$2:$I$39,4,0),"")="plaat",Instellingen!$B$4,Instellingen!$B$3))</f>
        <v/>
      </c>
      <c r="P84" s="5">
        <f>ROUND(N(H84)*IFERROR(IF(VLOOKUP(G84,Materialen!$A$2:$I$39,9,0)="",0,VLOOKUP(G84,Materialen!$A$2:$I$39,9,0)),0)*(1+N(O84))+N(J84)*IFERROR(IF(VLOOKUP(I84,Materialen!$A$2:$I$39,9,0)="",0,VLOOKUP(I84,Materialen!$A$2:$I$39,9,0)),0)*(1+N(O84))+N(L84)*IFERROR(IF(VLOOKUP(K84,Materialen!$A$2:$I$39,9,0)="",0,VLOOKUP(K84,Materialen!$A$2:$I$39,9,0)),0)+N(N84)*IFERROR(IF(VLOOKUP(M84,Materialen!$A$2:$I$39,9,0)="",0,VLOOKUP(M84,Materialen!$A$2:$I$39,9,0)),0),2)</f>
        <v/>
      </c>
      <c r="Q84" s="5">
        <f>IF(G84="",0,IF(IFERROR(VLOOKUP(G84,Materialen!$A$2:$I$39,5,0),"N")="J",ROUND(N(H84)*(1+N(O84))*Instellingen!$B$8,2),0))</f>
        <v/>
      </c>
      <c r="R84" s="18" t="n"/>
      <c r="S84" s="5">
        <f>ROUND(N(R84)/60*Instellingen!$B$9,2)</f>
        <v/>
      </c>
      <c r="T84" s="14" t="n"/>
      <c r="U84" s="5">
        <f>P84+Q84+S84+N(T84)</f>
        <v/>
      </c>
      <c r="V84" s="5">
        <f>IF(AC84&lt;&gt;"OK","",F84-U84)</f>
        <v/>
      </c>
      <c r="W84" s="6">
        <f>IF(OR(F84=0,AC84&lt;&gt;"OK"),"",V84/F84)</f>
        <v/>
      </c>
      <c r="X84" s="5">
        <f>IF(N(H84)&gt;0,F84/H84,"")</f>
        <v/>
      </c>
      <c r="Y84" s="5">
        <f>IF(N(H84)&gt;0,IFERROR(IF(VLOOKUP(G84,Materialen!$A$2:$I$39,9,0)="",0,VLOOKUP(G84,Materialen!$A$2:$I$39,9,0)),0),"")</f>
        <v/>
      </c>
      <c r="Z84" s="5">
        <f>ROUND(E84*F84,2)</f>
        <v/>
      </c>
      <c r="AA84" s="5">
        <f>IF(AC84&lt;&gt;"OK","",ROUND(E84*U84,2))</f>
        <v/>
      </c>
      <c r="AB84" s="5">
        <f>IF(AC84&lt;&gt;"OK","",Z84-AA84)</f>
        <v/>
      </c>
      <c r="AC84" s="7">
        <f>IF((IF(G84="",0,IF(IFERROR(IF(VLOOKUP(G84,Materialen!$A$2:$I$39,9,0)="",0,VLOOKUP(G84,Materialen!$A$2:$I$39,9,0)),0)=0,1,0))+IF(I84="",0,IF(IFERROR(IF(VLOOKUP(I84,Materialen!$A$2:$I$39,9,0)="",0,VLOOKUP(I84,Materialen!$A$2:$I$39,9,0)),0)=0,1,0))+IF(K84="",0,IF(IFERROR(IF(VLOOKUP(K84,Materialen!$A$2:$I$39,9,0)="",0,VLOOKUP(K84,Materialen!$A$2:$I$39,9,0)),0)=0,1,0))+IF(M84="",0,IF(IFERROR(IF(VLOOKUP(M84,Materialen!$A$2:$I$39,9,0)="",0,VLOOKUP(M84,Materialen!$A$2:$I$39,9,0)),0)=0,1,0)))&gt;0,"aankoopprijs ontbreekt",IF(AND(G84="",K84="",N(T84)=0,N(R84)=0),"kost invullen (arbeid/overig)","OK"))</f>
        <v/>
      </c>
      <c r="AD84" s="7" t="inlineStr"/>
    </row>
    <row r="85">
      <c r="A85" s="7" t="n">
        <v>84</v>
      </c>
      <c r="B85" s="7" t="inlineStr">
        <is>
          <t>Impression noir ou quadrichromie sur dibond 2mm</t>
        </is>
      </c>
      <c r="C85" s="7" t="inlineStr">
        <is>
          <t>&gt;= A2 et &lt;= 1 m²</t>
        </is>
      </c>
      <c r="D85" s="7" t="inlineStr">
        <is>
          <t>m²</t>
        </is>
      </c>
      <c r="E85" s="7" t="n">
        <v>5</v>
      </c>
      <c r="F85" s="5" t="n">
        <v>85</v>
      </c>
      <c r="G85" s="7" t="inlineStr">
        <is>
          <t>M39</t>
        </is>
      </c>
      <c r="H85" s="20" t="n">
        <v>1</v>
      </c>
      <c r="I85" s="7" t="n"/>
      <c r="J85" s="20" t="n"/>
      <c r="K85" s="7" t="n"/>
      <c r="L85" s="7" t="n"/>
      <c r="M85" s="7" t="n"/>
      <c r="N85" s="7" t="n"/>
      <c r="O85" s="6">
        <f>IF(G85="","",IF(IFERROR(VLOOKUP(G85,Materialen!$A$2:$I$39,4,0),"")="plaat",Instellingen!$B$4,Instellingen!$B$3))</f>
        <v/>
      </c>
      <c r="P85" s="5">
        <f>ROUND(N(H85)*IFERROR(IF(VLOOKUP(G85,Materialen!$A$2:$I$39,9,0)="",0,VLOOKUP(G85,Materialen!$A$2:$I$39,9,0)),0)*(1+N(O85))+N(J85)*IFERROR(IF(VLOOKUP(I85,Materialen!$A$2:$I$39,9,0)="",0,VLOOKUP(I85,Materialen!$A$2:$I$39,9,0)),0)*(1+N(O85))+N(L85)*IFERROR(IF(VLOOKUP(K85,Materialen!$A$2:$I$39,9,0)="",0,VLOOKUP(K85,Materialen!$A$2:$I$39,9,0)),0)+N(N85)*IFERROR(IF(VLOOKUP(M85,Materialen!$A$2:$I$39,9,0)="",0,VLOOKUP(M85,Materialen!$A$2:$I$39,9,0)),0),2)</f>
        <v/>
      </c>
      <c r="Q85" s="5">
        <f>IF(G85="",0,IF(IFERROR(VLOOKUP(G85,Materialen!$A$2:$I$39,5,0),"N")="J",ROUND(N(H85)*(1+N(O85))*Instellingen!$B$8,2),0))</f>
        <v/>
      </c>
      <c r="R85" s="18" t="n"/>
      <c r="S85" s="5">
        <f>ROUND(N(R85)/60*Instellingen!$B$9,2)</f>
        <v/>
      </c>
      <c r="T85" s="14" t="n"/>
      <c r="U85" s="5">
        <f>P85+Q85+S85+N(T85)</f>
        <v/>
      </c>
      <c r="V85" s="5">
        <f>IF(AC85&lt;&gt;"OK","",F85-U85)</f>
        <v/>
      </c>
      <c r="W85" s="6">
        <f>IF(OR(F85=0,AC85&lt;&gt;"OK"),"",V85/F85)</f>
        <v/>
      </c>
      <c r="X85" s="5">
        <f>IF(N(H85)&gt;0,F85/H85,"")</f>
        <v/>
      </c>
      <c r="Y85" s="5">
        <f>IF(N(H85)&gt;0,IFERROR(IF(VLOOKUP(G85,Materialen!$A$2:$I$39,9,0)="",0,VLOOKUP(G85,Materialen!$A$2:$I$39,9,0)),0),"")</f>
        <v/>
      </c>
      <c r="Z85" s="5">
        <f>ROUND(E85*F85,2)</f>
        <v/>
      </c>
      <c r="AA85" s="5">
        <f>IF(AC85&lt;&gt;"OK","",ROUND(E85*U85,2))</f>
        <v/>
      </c>
      <c r="AB85" s="5">
        <f>IF(AC85&lt;&gt;"OK","",Z85-AA85)</f>
        <v/>
      </c>
      <c r="AC85" s="7">
        <f>IF((IF(G85="",0,IF(IFERROR(IF(VLOOKUP(G85,Materialen!$A$2:$I$39,9,0)="",0,VLOOKUP(G85,Materialen!$A$2:$I$39,9,0)),0)=0,1,0))+IF(I85="",0,IF(IFERROR(IF(VLOOKUP(I85,Materialen!$A$2:$I$39,9,0)="",0,VLOOKUP(I85,Materialen!$A$2:$I$39,9,0)),0)=0,1,0))+IF(K85="",0,IF(IFERROR(IF(VLOOKUP(K85,Materialen!$A$2:$I$39,9,0)="",0,VLOOKUP(K85,Materialen!$A$2:$I$39,9,0)),0)=0,1,0))+IF(M85="",0,IF(IFERROR(IF(VLOOKUP(M85,Materialen!$A$2:$I$39,9,0)="",0,VLOOKUP(M85,Materialen!$A$2:$I$39,9,0)),0)=0,1,0)))&gt;0,"aankoopprijs ontbreekt",IF(AND(G85="",K85="",N(T85)=0,N(R85)=0),"kost invullen (arbeid/overig)","OK"))</f>
        <v/>
      </c>
      <c r="AD85" s="7" t="inlineStr"/>
    </row>
    <row r="86">
      <c r="A86" s="7" t="n">
        <v>85</v>
      </c>
      <c r="B86" s="7" t="inlineStr">
        <is>
          <t>Impression noir ou quadrichromie sur dibond 2mm</t>
        </is>
      </c>
      <c r="C86" s="7" t="inlineStr">
        <is>
          <t>&gt; 1 m² et &lt;= 2 m²</t>
        </is>
      </c>
      <c r="D86" s="7" t="inlineStr">
        <is>
          <t>m²</t>
        </is>
      </c>
      <c r="E86" s="7" t="n">
        <v>5</v>
      </c>
      <c r="F86" s="5" t="n">
        <v>74</v>
      </c>
      <c r="G86" s="7" t="inlineStr">
        <is>
          <t>M39</t>
        </is>
      </c>
      <c r="H86" s="20" t="n">
        <v>1</v>
      </c>
      <c r="I86" s="7" t="n"/>
      <c r="J86" s="20" t="n"/>
      <c r="K86" s="7" t="n"/>
      <c r="L86" s="7" t="n"/>
      <c r="M86" s="7" t="n"/>
      <c r="N86" s="7" t="n"/>
      <c r="O86" s="6">
        <f>IF(G86="","",IF(IFERROR(VLOOKUP(G86,Materialen!$A$2:$I$39,4,0),"")="plaat",Instellingen!$B$4,Instellingen!$B$3))</f>
        <v/>
      </c>
      <c r="P86" s="5">
        <f>ROUND(N(H86)*IFERROR(IF(VLOOKUP(G86,Materialen!$A$2:$I$39,9,0)="",0,VLOOKUP(G86,Materialen!$A$2:$I$39,9,0)),0)*(1+N(O86))+N(J86)*IFERROR(IF(VLOOKUP(I86,Materialen!$A$2:$I$39,9,0)="",0,VLOOKUP(I86,Materialen!$A$2:$I$39,9,0)),0)*(1+N(O86))+N(L86)*IFERROR(IF(VLOOKUP(K86,Materialen!$A$2:$I$39,9,0)="",0,VLOOKUP(K86,Materialen!$A$2:$I$39,9,0)),0)+N(N86)*IFERROR(IF(VLOOKUP(M86,Materialen!$A$2:$I$39,9,0)="",0,VLOOKUP(M86,Materialen!$A$2:$I$39,9,0)),0),2)</f>
        <v/>
      </c>
      <c r="Q86" s="5">
        <f>IF(G86="",0,IF(IFERROR(VLOOKUP(G86,Materialen!$A$2:$I$39,5,0),"N")="J",ROUND(N(H86)*(1+N(O86))*Instellingen!$B$8,2),0))</f>
        <v/>
      </c>
      <c r="R86" s="18" t="n"/>
      <c r="S86" s="5">
        <f>ROUND(N(R86)/60*Instellingen!$B$9,2)</f>
        <v/>
      </c>
      <c r="T86" s="14" t="n"/>
      <c r="U86" s="5">
        <f>P86+Q86+S86+N(T86)</f>
        <v/>
      </c>
      <c r="V86" s="5">
        <f>IF(AC86&lt;&gt;"OK","",F86-U86)</f>
        <v/>
      </c>
      <c r="W86" s="6">
        <f>IF(OR(F86=0,AC86&lt;&gt;"OK"),"",V86/F86)</f>
        <v/>
      </c>
      <c r="X86" s="5">
        <f>IF(N(H86)&gt;0,F86/H86,"")</f>
        <v/>
      </c>
      <c r="Y86" s="5">
        <f>IF(N(H86)&gt;0,IFERROR(IF(VLOOKUP(G86,Materialen!$A$2:$I$39,9,0)="",0,VLOOKUP(G86,Materialen!$A$2:$I$39,9,0)),0),"")</f>
        <v/>
      </c>
      <c r="Z86" s="5">
        <f>ROUND(E86*F86,2)</f>
        <v/>
      </c>
      <c r="AA86" s="5">
        <f>IF(AC86&lt;&gt;"OK","",ROUND(E86*U86,2))</f>
        <v/>
      </c>
      <c r="AB86" s="5">
        <f>IF(AC86&lt;&gt;"OK","",Z86-AA86)</f>
        <v/>
      </c>
      <c r="AC86" s="7">
        <f>IF((IF(G86="",0,IF(IFERROR(IF(VLOOKUP(G86,Materialen!$A$2:$I$39,9,0)="",0,VLOOKUP(G86,Materialen!$A$2:$I$39,9,0)),0)=0,1,0))+IF(I86="",0,IF(IFERROR(IF(VLOOKUP(I86,Materialen!$A$2:$I$39,9,0)="",0,VLOOKUP(I86,Materialen!$A$2:$I$39,9,0)),0)=0,1,0))+IF(K86="",0,IF(IFERROR(IF(VLOOKUP(K86,Materialen!$A$2:$I$39,9,0)="",0,VLOOKUP(K86,Materialen!$A$2:$I$39,9,0)),0)=0,1,0))+IF(M86="",0,IF(IFERROR(IF(VLOOKUP(M86,Materialen!$A$2:$I$39,9,0)="",0,VLOOKUP(M86,Materialen!$A$2:$I$39,9,0)),0)=0,1,0)))&gt;0,"aankoopprijs ontbreekt",IF(AND(G86="",K86="",N(T86)=0,N(R86)=0),"kost invullen (arbeid/overig)","OK"))</f>
        <v/>
      </c>
      <c r="AD86" s="7" t="inlineStr"/>
    </row>
    <row r="87">
      <c r="A87" s="7" t="n">
        <v>86</v>
      </c>
      <c r="B87" s="7" t="inlineStr">
        <is>
          <t>Impression noir ou quadrichromie sur dibond 2mm</t>
        </is>
      </c>
      <c r="C87" s="7" t="inlineStr">
        <is>
          <t>&gt; 2 m² et &lt;= 5 m²</t>
        </is>
      </c>
      <c r="D87" s="7" t="inlineStr">
        <is>
          <t>m²</t>
        </is>
      </c>
      <c r="E87" s="7" t="n">
        <v>5</v>
      </c>
      <c r="F87" s="5" t="n">
        <v>66</v>
      </c>
      <c r="G87" s="7" t="inlineStr">
        <is>
          <t>M39</t>
        </is>
      </c>
      <c r="H87" s="20" t="n">
        <v>1</v>
      </c>
      <c r="I87" s="7" t="n"/>
      <c r="J87" s="20" t="n"/>
      <c r="K87" s="7" t="n"/>
      <c r="L87" s="7" t="n"/>
      <c r="M87" s="7" t="n"/>
      <c r="N87" s="7" t="n"/>
      <c r="O87" s="6">
        <f>IF(G87="","",IF(IFERROR(VLOOKUP(G87,Materialen!$A$2:$I$39,4,0),"")="plaat",Instellingen!$B$4,Instellingen!$B$3))</f>
        <v/>
      </c>
      <c r="P87" s="5">
        <f>ROUND(N(H87)*IFERROR(IF(VLOOKUP(G87,Materialen!$A$2:$I$39,9,0)="",0,VLOOKUP(G87,Materialen!$A$2:$I$39,9,0)),0)*(1+N(O87))+N(J87)*IFERROR(IF(VLOOKUP(I87,Materialen!$A$2:$I$39,9,0)="",0,VLOOKUP(I87,Materialen!$A$2:$I$39,9,0)),0)*(1+N(O87))+N(L87)*IFERROR(IF(VLOOKUP(K87,Materialen!$A$2:$I$39,9,0)="",0,VLOOKUP(K87,Materialen!$A$2:$I$39,9,0)),0)+N(N87)*IFERROR(IF(VLOOKUP(M87,Materialen!$A$2:$I$39,9,0)="",0,VLOOKUP(M87,Materialen!$A$2:$I$39,9,0)),0),2)</f>
        <v/>
      </c>
      <c r="Q87" s="5">
        <f>IF(G87="",0,IF(IFERROR(VLOOKUP(G87,Materialen!$A$2:$I$39,5,0),"N")="J",ROUND(N(H87)*(1+N(O87))*Instellingen!$B$8,2),0))</f>
        <v/>
      </c>
      <c r="R87" s="18" t="n"/>
      <c r="S87" s="5">
        <f>ROUND(N(R87)/60*Instellingen!$B$9,2)</f>
        <v/>
      </c>
      <c r="T87" s="14" t="n"/>
      <c r="U87" s="5">
        <f>P87+Q87+S87+N(T87)</f>
        <v/>
      </c>
      <c r="V87" s="5">
        <f>IF(AC87&lt;&gt;"OK","",F87-U87)</f>
        <v/>
      </c>
      <c r="W87" s="6">
        <f>IF(OR(F87=0,AC87&lt;&gt;"OK"),"",V87/F87)</f>
        <v/>
      </c>
      <c r="X87" s="5">
        <f>IF(N(H87)&gt;0,F87/H87,"")</f>
        <v/>
      </c>
      <c r="Y87" s="5">
        <f>IF(N(H87)&gt;0,IFERROR(IF(VLOOKUP(G87,Materialen!$A$2:$I$39,9,0)="",0,VLOOKUP(G87,Materialen!$A$2:$I$39,9,0)),0),"")</f>
        <v/>
      </c>
      <c r="Z87" s="5">
        <f>ROUND(E87*F87,2)</f>
        <v/>
      </c>
      <c r="AA87" s="5">
        <f>IF(AC87&lt;&gt;"OK","",ROUND(E87*U87,2))</f>
        <v/>
      </c>
      <c r="AB87" s="5">
        <f>IF(AC87&lt;&gt;"OK","",Z87-AA87)</f>
        <v/>
      </c>
      <c r="AC87" s="7">
        <f>IF((IF(G87="",0,IF(IFERROR(IF(VLOOKUP(G87,Materialen!$A$2:$I$39,9,0)="",0,VLOOKUP(G87,Materialen!$A$2:$I$39,9,0)),0)=0,1,0))+IF(I87="",0,IF(IFERROR(IF(VLOOKUP(I87,Materialen!$A$2:$I$39,9,0)="",0,VLOOKUP(I87,Materialen!$A$2:$I$39,9,0)),0)=0,1,0))+IF(K87="",0,IF(IFERROR(IF(VLOOKUP(K87,Materialen!$A$2:$I$39,9,0)="",0,VLOOKUP(K87,Materialen!$A$2:$I$39,9,0)),0)=0,1,0))+IF(M87="",0,IF(IFERROR(IF(VLOOKUP(M87,Materialen!$A$2:$I$39,9,0)="",0,VLOOKUP(M87,Materialen!$A$2:$I$39,9,0)),0)=0,1,0)))&gt;0,"aankoopprijs ontbreekt",IF(AND(G87="",K87="",N(T87)=0,N(R87)=0),"kost invullen (arbeid/overig)","OK"))</f>
        <v/>
      </c>
      <c r="AD87" s="7" t="inlineStr"/>
    </row>
    <row r="88">
      <c r="A88" s="7" t="n">
        <v>87</v>
      </c>
      <c r="B88" s="7" t="inlineStr">
        <is>
          <t>Impression noir ou quadrichromie sur dibond 2mm</t>
        </is>
      </c>
      <c r="C88" s="7" t="inlineStr">
        <is>
          <t>&gt; 5 m² et &lt;= 10 m²</t>
        </is>
      </c>
      <c r="D88" s="7" t="inlineStr">
        <is>
          <t>m²</t>
        </is>
      </c>
      <c r="E88" s="7" t="n">
        <v>5</v>
      </c>
      <c r="F88" s="5" t="n">
        <v>59</v>
      </c>
      <c r="G88" s="7" t="inlineStr">
        <is>
          <t>M39</t>
        </is>
      </c>
      <c r="H88" s="20" t="n">
        <v>1</v>
      </c>
      <c r="I88" s="7" t="n"/>
      <c r="J88" s="20" t="n"/>
      <c r="K88" s="7" t="n"/>
      <c r="L88" s="7" t="n"/>
      <c r="M88" s="7" t="n"/>
      <c r="N88" s="7" t="n"/>
      <c r="O88" s="6">
        <f>IF(G88="","",IF(IFERROR(VLOOKUP(G88,Materialen!$A$2:$I$39,4,0),"")="plaat",Instellingen!$B$4,Instellingen!$B$3))</f>
        <v/>
      </c>
      <c r="P88" s="5">
        <f>ROUND(N(H88)*IFERROR(IF(VLOOKUP(G88,Materialen!$A$2:$I$39,9,0)="",0,VLOOKUP(G88,Materialen!$A$2:$I$39,9,0)),0)*(1+N(O88))+N(J88)*IFERROR(IF(VLOOKUP(I88,Materialen!$A$2:$I$39,9,0)="",0,VLOOKUP(I88,Materialen!$A$2:$I$39,9,0)),0)*(1+N(O88))+N(L88)*IFERROR(IF(VLOOKUP(K88,Materialen!$A$2:$I$39,9,0)="",0,VLOOKUP(K88,Materialen!$A$2:$I$39,9,0)),0)+N(N88)*IFERROR(IF(VLOOKUP(M88,Materialen!$A$2:$I$39,9,0)="",0,VLOOKUP(M88,Materialen!$A$2:$I$39,9,0)),0),2)</f>
        <v/>
      </c>
      <c r="Q88" s="5">
        <f>IF(G88="",0,IF(IFERROR(VLOOKUP(G88,Materialen!$A$2:$I$39,5,0),"N")="J",ROUND(N(H88)*(1+N(O88))*Instellingen!$B$8,2),0))</f>
        <v/>
      </c>
      <c r="R88" s="18" t="n"/>
      <c r="S88" s="5">
        <f>ROUND(N(R88)/60*Instellingen!$B$9,2)</f>
        <v/>
      </c>
      <c r="T88" s="14" t="n"/>
      <c r="U88" s="5">
        <f>P88+Q88+S88+N(T88)</f>
        <v/>
      </c>
      <c r="V88" s="5">
        <f>IF(AC88&lt;&gt;"OK","",F88-U88)</f>
        <v/>
      </c>
      <c r="W88" s="6">
        <f>IF(OR(F88=0,AC88&lt;&gt;"OK"),"",V88/F88)</f>
        <v/>
      </c>
      <c r="X88" s="5">
        <f>IF(N(H88)&gt;0,F88/H88,"")</f>
        <v/>
      </c>
      <c r="Y88" s="5">
        <f>IF(N(H88)&gt;0,IFERROR(IF(VLOOKUP(G88,Materialen!$A$2:$I$39,9,0)="",0,VLOOKUP(G88,Materialen!$A$2:$I$39,9,0)),0),"")</f>
        <v/>
      </c>
      <c r="Z88" s="5">
        <f>ROUND(E88*F88,2)</f>
        <v/>
      </c>
      <c r="AA88" s="5">
        <f>IF(AC88&lt;&gt;"OK","",ROUND(E88*U88,2))</f>
        <v/>
      </c>
      <c r="AB88" s="5">
        <f>IF(AC88&lt;&gt;"OK","",Z88-AA88)</f>
        <v/>
      </c>
      <c r="AC88" s="7">
        <f>IF((IF(G88="",0,IF(IFERROR(IF(VLOOKUP(G88,Materialen!$A$2:$I$39,9,0)="",0,VLOOKUP(G88,Materialen!$A$2:$I$39,9,0)),0)=0,1,0))+IF(I88="",0,IF(IFERROR(IF(VLOOKUP(I88,Materialen!$A$2:$I$39,9,0)="",0,VLOOKUP(I88,Materialen!$A$2:$I$39,9,0)),0)=0,1,0))+IF(K88="",0,IF(IFERROR(IF(VLOOKUP(K88,Materialen!$A$2:$I$39,9,0)="",0,VLOOKUP(K88,Materialen!$A$2:$I$39,9,0)),0)=0,1,0))+IF(M88="",0,IF(IFERROR(IF(VLOOKUP(M88,Materialen!$A$2:$I$39,9,0)="",0,VLOOKUP(M88,Materialen!$A$2:$I$39,9,0)),0)=0,1,0)))&gt;0,"aankoopprijs ontbreekt",IF(AND(G88="",K88="",N(T88)=0,N(R88)=0),"kost invullen (arbeid/overig)","OK"))</f>
        <v/>
      </c>
      <c r="AD88" s="7" t="inlineStr"/>
    </row>
    <row r="89">
      <c r="A89" s="7" t="n">
        <v>88</v>
      </c>
      <c r="B89" s="7" t="inlineStr">
        <is>
          <t>Impression noir ou quadrichromie sur dibond 2mm</t>
        </is>
      </c>
      <c r="C89" s="7" t="inlineStr">
        <is>
          <t>&gt; 10 m² et &lt;= 25 m²</t>
        </is>
      </c>
      <c r="D89" s="7" t="inlineStr">
        <is>
          <t>m²</t>
        </is>
      </c>
      <c r="E89" s="7" t="n">
        <v>5</v>
      </c>
      <c r="F89" s="5" t="n">
        <v>53</v>
      </c>
      <c r="G89" s="7" t="inlineStr">
        <is>
          <t>M39</t>
        </is>
      </c>
      <c r="H89" s="20" t="n">
        <v>1</v>
      </c>
      <c r="I89" s="7" t="n"/>
      <c r="J89" s="20" t="n"/>
      <c r="K89" s="7" t="n"/>
      <c r="L89" s="7" t="n"/>
      <c r="M89" s="7" t="n"/>
      <c r="N89" s="7" t="n"/>
      <c r="O89" s="6">
        <f>IF(G89="","",IF(IFERROR(VLOOKUP(G89,Materialen!$A$2:$I$39,4,0),"")="plaat",Instellingen!$B$4,Instellingen!$B$3))</f>
        <v/>
      </c>
      <c r="P89" s="5">
        <f>ROUND(N(H89)*IFERROR(IF(VLOOKUP(G89,Materialen!$A$2:$I$39,9,0)="",0,VLOOKUP(G89,Materialen!$A$2:$I$39,9,0)),0)*(1+N(O89))+N(J89)*IFERROR(IF(VLOOKUP(I89,Materialen!$A$2:$I$39,9,0)="",0,VLOOKUP(I89,Materialen!$A$2:$I$39,9,0)),0)*(1+N(O89))+N(L89)*IFERROR(IF(VLOOKUP(K89,Materialen!$A$2:$I$39,9,0)="",0,VLOOKUP(K89,Materialen!$A$2:$I$39,9,0)),0)+N(N89)*IFERROR(IF(VLOOKUP(M89,Materialen!$A$2:$I$39,9,0)="",0,VLOOKUP(M89,Materialen!$A$2:$I$39,9,0)),0),2)</f>
        <v/>
      </c>
      <c r="Q89" s="5">
        <f>IF(G89="",0,IF(IFERROR(VLOOKUP(G89,Materialen!$A$2:$I$39,5,0),"N")="J",ROUND(N(H89)*(1+N(O89))*Instellingen!$B$8,2),0))</f>
        <v/>
      </c>
      <c r="R89" s="18" t="n"/>
      <c r="S89" s="5">
        <f>ROUND(N(R89)/60*Instellingen!$B$9,2)</f>
        <v/>
      </c>
      <c r="T89" s="14" t="n"/>
      <c r="U89" s="5">
        <f>P89+Q89+S89+N(T89)</f>
        <v/>
      </c>
      <c r="V89" s="5">
        <f>IF(AC89&lt;&gt;"OK","",F89-U89)</f>
        <v/>
      </c>
      <c r="W89" s="6">
        <f>IF(OR(F89=0,AC89&lt;&gt;"OK"),"",V89/F89)</f>
        <v/>
      </c>
      <c r="X89" s="5">
        <f>IF(N(H89)&gt;0,F89/H89,"")</f>
        <v/>
      </c>
      <c r="Y89" s="5">
        <f>IF(N(H89)&gt;0,IFERROR(IF(VLOOKUP(G89,Materialen!$A$2:$I$39,9,0)="",0,VLOOKUP(G89,Materialen!$A$2:$I$39,9,0)),0),"")</f>
        <v/>
      </c>
      <c r="Z89" s="5">
        <f>ROUND(E89*F89,2)</f>
        <v/>
      </c>
      <c r="AA89" s="5">
        <f>IF(AC89&lt;&gt;"OK","",ROUND(E89*U89,2))</f>
        <v/>
      </c>
      <c r="AB89" s="5">
        <f>IF(AC89&lt;&gt;"OK","",Z89-AA89)</f>
        <v/>
      </c>
      <c r="AC89" s="7">
        <f>IF((IF(G89="",0,IF(IFERROR(IF(VLOOKUP(G89,Materialen!$A$2:$I$39,9,0)="",0,VLOOKUP(G89,Materialen!$A$2:$I$39,9,0)),0)=0,1,0))+IF(I89="",0,IF(IFERROR(IF(VLOOKUP(I89,Materialen!$A$2:$I$39,9,0)="",0,VLOOKUP(I89,Materialen!$A$2:$I$39,9,0)),0)=0,1,0))+IF(K89="",0,IF(IFERROR(IF(VLOOKUP(K89,Materialen!$A$2:$I$39,9,0)="",0,VLOOKUP(K89,Materialen!$A$2:$I$39,9,0)),0)=0,1,0))+IF(M89="",0,IF(IFERROR(IF(VLOOKUP(M89,Materialen!$A$2:$I$39,9,0)="",0,VLOOKUP(M89,Materialen!$A$2:$I$39,9,0)),0)=0,1,0)))&gt;0,"aankoopprijs ontbreekt",IF(AND(G89="",K89="",N(T89)=0,N(R89)=0),"kost invullen (arbeid/overig)","OK"))</f>
        <v/>
      </c>
      <c r="AD89" s="7" t="inlineStr"/>
    </row>
    <row r="90">
      <c r="A90" s="7" t="n">
        <v>89</v>
      </c>
      <c r="B90" s="7" t="inlineStr">
        <is>
          <t>Impression noir ou quadrichromie sur dibond 2mm</t>
        </is>
      </c>
      <c r="C90" s="7" t="inlineStr">
        <is>
          <t>&gt; 25 m²</t>
        </is>
      </c>
      <c r="D90" s="7" t="inlineStr">
        <is>
          <t>m²</t>
        </is>
      </c>
      <c r="E90" s="7" t="n">
        <v>5</v>
      </c>
      <c r="F90" s="5" t="n">
        <v>48</v>
      </c>
      <c r="G90" s="7" t="inlineStr">
        <is>
          <t>M39</t>
        </is>
      </c>
      <c r="H90" s="20" t="n">
        <v>1</v>
      </c>
      <c r="I90" s="7" t="n"/>
      <c r="J90" s="20" t="n"/>
      <c r="K90" s="7" t="n"/>
      <c r="L90" s="7" t="n"/>
      <c r="M90" s="7" t="n"/>
      <c r="N90" s="7" t="n"/>
      <c r="O90" s="6">
        <f>IF(G90="","",IF(IFERROR(VLOOKUP(G90,Materialen!$A$2:$I$39,4,0),"")="plaat",Instellingen!$B$4,Instellingen!$B$3))</f>
        <v/>
      </c>
      <c r="P90" s="5">
        <f>ROUND(N(H90)*IFERROR(IF(VLOOKUP(G90,Materialen!$A$2:$I$39,9,0)="",0,VLOOKUP(G90,Materialen!$A$2:$I$39,9,0)),0)*(1+N(O90))+N(J90)*IFERROR(IF(VLOOKUP(I90,Materialen!$A$2:$I$39,9,0)="",0,VLOOKUP(I90,Materialen!$A$2:$I$39,9,0)),0)*(1+N(O90))+N(L90)*IFERROR(IF(VLOOKUP(K90,Materialen!$A$2:$I$39,9,0)="",0,VLOOKUP(K90,Materialen!$A$2:$I$39,9,0)),0)+N(N90)*IFERROR(IF(VLOOKUP(M90,Materialen!$A$2:$I$39,9,0)="",0,VLOOKUP(M90,Materialen!$A$2:$I$39,9,0)),0),2)</f>
        <v/>
      </c>
      <c r="Q90" s="5">
        <f>IF(G90="",0,IF(IFERROR(VLOOKUP(G90,Materialen!$A$2:$I$39,5,0),"N")="J",ROUND(N(H90)*(1+N(O90))*Instellingen!$B$8,2),0))</f>
        <v/>
      </c>
      <c r="R90" s="18" t="n"/>
      <c r="S90" s="5">
        <f>ROUND(N(R90)/60*Instellingen!$B$9,2)</f>
        <v/>
      </c>
      <c r="T90" s="14" t="n"/>
      <c r="U90" s="5">
        <f>P90+Q90+S90+N(T90)</f>
        <v/>
      </c>
      <c r="V90" s="5">
        <f>IF(AC90&lt;&gt;"OK","",F90-U90)</f>
        <v/>
      </c>
      <c r="W90" s="6">
        <f>IF(OR(F90=0,AC90&lt;&gt;"OK"),"",V90/F90)</f>
        <v/>
      </c>
      <c r="X90" s="5">
        <f>IF(N(H90)&gt;0,F90/H90,"")</f>
        <v/>
      </c>
      <c r="Y90" s="5">
        <f>IF(N(H90)&gt;0,IFERROR(IF(VLOOKUP(G90,Materialen!$A$2:$I$39,9,0)="",0,VLOOKUP(G90,Materialen!$A$2:$I$39,9,0)),0),"")</f>
        <v/>
      </c>
      <c r="Z90" s="5">
        <f>ROUND(E90*F90,2)</f>
        <v/>
      </c>
      <c r="AA90" s="5">
        <f>IF(AC90&lt;&gt;"OK","",ROUND(E90*U90,2))</f>
        <v/>
      </c>
      <c r="AB90" s="5">
        <f>IF(AC90&lt;&gt;"OK","",Z90-AA90)</f>
        <v/>
      </c>
      <c r="AC90" s="7">
        <f>IF((IF(G90="",0,IF(IFERROR(IF(VLOOKUP(G90,Materialen!$A$2:$I$39,9,0)="",0,VLOOKUP(G90,Materialen!$A$2:$I$39,9,0)),0)=0,1,0))+IF(I90="",0,IF(IFERROR(IF(VLOOKUP(I90,Materialen!$A$2:$I$39,9,0)="",0,VLOOKUP(I90,Materialen!$A$2:$I$39,9,0)),0)=0,1,0))+IF(K90="",0,IF(IFERROR(IF(VLOOKUP(K90,Materialen!$A$2:$I$39,9,0)="",0,VLOOKUP(K90,Materialen!$A$2:$I$39,9,0)),0)=0,1,0))+IF(M90="",0,IF(IFERROR(IF(VLOOKUP(M90,Materialen!$A$2:$I$39,9,0)="",0,VLOOKUP(M90,Materialen!$A$2:$I$39,9,0)),0)=0,1,0)))&gt;0,"aankoopprijs ontbreekt",IF(AND(G90="",K90="",N(T90)=0,N(R90)=0),"kost invullen (arbeid/overig)","OK"))</f>
        <v/>
      </c>
      <c r="AD90" s="7" t="inlineStr"/>
    </row>
    <row r="91">
      <c r="A91" s="7" t="n">
        <v>90</v>
      </c>
      <c r="B91" s="7" t="inlineStr">
        <is>
          <t>Impression noir ou quadrichromie sur dibond 3mm</t>
        </is>
      </c>
      <c r="C91" s="7" t="inlineStr">
        <is>
          <t>&gt;= A2 et &lt;= 1 m²</t>
        </is>
      </c>
      <c r="D91" s="7" t="inlineStr">
        <is>
          <t>m²</t>
        </is>
      </c>
      <c r="E91" s="7" t="n">
        <v>5</v>
      </c>
      <c r="F91" s="5" t="n">
        <v>95</v>
      </c>
      <c r="G91" s="7" t="inlineStr">
        <is>
          <t>M40</t>
        </is>
      </c>
      <c r="H91" s="20" t="n">
        <v>1</v>
      </c>
      <c r="I91" s="7" t="n"/>
      <c r="J91" s="20" t="n"/>
      <c r="K91" s="7" t="n"/>
      <c r="L91" s="7" t="n"/>
      <c r="M91" s="7" t="n"/>
      <c r="N91" s="7" t="n"/>
      <c r="O91" s="6">
        <f>IF(G91="","",IF(IFERROR(VLOOKUP(G91,Materialen!$A$2:$I$39,4,0),"")="plaat",Instellingen!$B$4,Instellingen!$B$3))</f>
        <v/>
      </c>
      <c r="P91" s="5">
        <f>ROUND(N(H91)*IFERROR(IF(VLOOKUP(G91,Materialen!$A$2:$I$39,9,0)="",0,VLOOKUP(G91,Materialen!$A$2:$I$39,9,0)),0)*(1+N(O91))+N(J91)*IFERROR(IF(VLOOKUP(I91,Materialen!$A$2:$I$39,9,0)="",0,VLOOKUP(I91,Materialen!$A$2:$I$39,9,0)),0)*(1+N(O91))+N(L91)*IFERROR(IF(VLOOKUP(K91,Materialen!$A$2:$I$39,9,0)="",0,VLOOKUP(K91,Materialen!$A$2:$I$39,9,0)),0)+N(N91)*IFERROR(IF(VLOOKUP(M91,Materialen!$A$2:$I$39,9,0)="",0,VLOOKUP(M91,Materialen!$A$2:$I$39,9,0)),0),2)</f>
        <v/>
      </c>
      <c r="Q91" s="5">
        <f>IF(G91="",0,IF(IFERROR(VLOOKUP(G91,Materialen!$A$2:$I$39,5,0),"N")="J",ROUND(N(H91)*(1+N(O91))*Instellingen!$B$8,2),0))</f>
        <v/>
      </c>
      <c r="R91" s="18" t="n"/>
      <c r="S91" s="5">
        <f>ROUND(N(R91)/60*Instellingen!$B$9,2)</f>
        <v/>
      </c>
      <c r="T91" s="14" t="n"/>
      <c r="U91" s="5">
        <f>P91+Q91+S91+N(T91)</f>
        <v/>
      </c>
      <c r="V91" s="5">
        <f>IF(AC91&lt;&gt;"OK","",F91-U91)</f>
        <v/>
      </c>
      <c r="W91" s="6">
        <f>IF(OR(F91=0,AC91&lt;&gt;"OK"),"",V91/F91)</f>
        <v/>
      </c>
      <c r="X91" s="5">
        <f>IF(N(H91)&gt;0,F91/H91,"")</f>
        <v/>
      </c>
      <c r="Y91" s="5">
        <f>IF(N(H91)&gt;0,IFERROR(IF(VLOOKUP(G91,Materialen!$A$2:$I$39,9,0)="",0,VLOOKUP(G91,Materialen!$A$2:$I$39,9,0)),0),"")</f>
        <v/>
      </c>
      <c r="Z91" s="5">
        <f>ROUND(E91*F91,2)</f>
        <v/>
      </c>
      <c r="AA91" s="5">
        <f>IF(AC91&lt;&gt;"OK","",ROUND(E91*U91,2))</f>
        <v/>
      </c>
      <c r="AB91" s="5">
        <f>IF(AC91&lt;&gt;"OK","",Z91-AA91)</f>
        <v/>
      </c>
      <c r="AC91" s="7">
        <f>IF((IF(G91="",0,IF(IFERROR(IF(VLOOKUP(G91,Materialen!$A$2:$I$39,9,0)="",0,VLOOKUP(G91,Materialen!$A$2:$I$39,9,0)),0)=0,1,0))+IF(I91="",0,IF(IFERROR(IF(VLOOKUP(I91,Materialen!$A$2:$I$39,9,0)="",0,VLOOKUP(I91,Materialen!$A$2:$I$39,9,0)),0)=0,1,0))+IF(K91="",0,IF(IFERROR(IF(VLOOKUP(K91,Materialen!$A$2:$I$39,9,0)="",0,VLOOKUP(K91,Materialen!$A$2:$I$39,9,0)),0)=0,1,0))+IF(M91="",0,IF(IFERROR(IF(VLOOKUP(M91,Materialen!$A$2:$I$39,9,0)="",0,VLOOKUP(M91,Materialen!$A$2:$I$39,9,0)),0)=0,1,0)))&gt;0,"aankoopprijs ontbreekt",IF(AND(G91="",K91="",N(T91)=0,N(R91)=0),"kost invullen (arbeid/overig)","OK"))</f>
        <v/>
      </c>
      <c r="AD91" s="7" t="inlineStr"/>
    </row>
    <row r="92">
      <c r="A92" s="7" t="n">
        <v>91</v>
      </c>
      <c r="B92" s="7" t="inlineStr">
        <is>
          <t>Impression noir ou quadrichromie sur dibond 3mm</t>
        </is>
      </c>
      <c r="C92" s="7" t="inlineStr">
        <is>
          <t>&gt; 1 m² et &lt;= 2 m²</t>
        </is>
      </c>
      <c r="D92" s="7" t="inlineStr">
        <is>
          <t>m²</t>
        </is>
      </c>
      <c r="E92" s="7" t="n">
        <v>5</v>
      </c>
      <c r="F92" s="5" t="n">
        <v>83</v>
      </c>
      <c r="G92" s="7" t="inlineStr">
        <is>
          <t>M40</t>
        </is>
      </c>
      <c r="H92" s="20" t="n">
        <v>1</v>
      </c>
      <c r="I92" s="7" t="n"/>
      <c r="J92" s="20" t="n"/>
      <c r="K92" s="7" t="n"/>
      <c r="L92" s="7" t="n"/>
      <c r="M92" s="7" t="n"/>
      <c r="N92" s="7" t="n"/>
      <c r="O92" s="6">
        <f>IF(G92="","",IF(IFERROR(VLOOKUP(G92,Materialen!$A$2:$I$39,4,0),"")="plaat",Instellingen!$B$4,Instellingen!$B$3))</f>
        <v/>
      </c>
      <c r="P92" s="5">
        <f>ROUND(N(H92)*IFERROR(IF(VLOOKUP(G92,Materialen!$A$2:$I$39,9,0)="",0,VLOOKUP(G92,Materialen!$A$2:$I$39,9,0)),0)*(1+N(O92))+N(J92)*IFERROR(IF(VLOOKUP(I92,Materialen!$A$2:$I$39,9,0)="",0,VLOOKUP(I92,Materialen!$A$2:$I$39,9,0)),0)*(1+N(O92))+N(L92)*IFERROR(IF(VLOOKUP(K92,Materialen!$A$2:$I$39,9,0)="",0,VLOOKUP(K92,Materialen!$A$2:$I$39,9,0)),0)+N(N92)*IFERROR(IF(VLOOKUP(M92,Materialen!$A$2:$I$39,9,0)="",0,VLOOKUP(M92,Materialen!$A$2:$I$39,9,0)),0),2)</f>
        <v/>
      </c>
      <c r="Q92" s="5">
        <f>IF(G92="",0,IF(IFERROR(VLOOKUP(G92,Materialen!$A$2:$I$39,5,0),"N")="J",ROUND(N(H92)*(1+N(O92))*Instellingen!$B$8,2),0))</f>
        <v/>
      </c>
      <c r="R92" s="18" t="n"/>
      <c r="S92" s="5">
        <f>ROUND(N(R92)/60*Instellingen!$B$9,2)</f>
        <v/>
      </c>
      <c r="T92" s="14" t="n"/>
      <c r="U92" s="5">
        <f>P92+Q92+S92+N(T92)</f>
        <v/>
      </c>
      <c r="V92" s="5">
        <f>IF(AC92&lt;&gt;"OK","",F92-U92)</f>
        <v/>
      </c>
      <c r="W92" s="6">
        <f>IF(OR(F92=0,AC92&lt;&gt;"OK"),"",V92/F92)</f>
        <v/>
      </c>
      <c r="X92" s="5">
        <f>IF(N(H92)&gt;0,F92/H92,"")</f>
        <v/>
      </c>
      <c r="Y92" s="5">
        <f>IF(N(H92)&gt;0,IFERROR(IF(VLOOKUP(G92,Materialen!$A$2:$I$39,9,0)="",0,VLOOKUP(G92,Materialen!$A$2:$I$39,9,0)),0),"")</f>
        <v/>
      </c>
      <c r="Z92" s="5">
        <f>ROUND(E92*F92,2)</f>
        <v/>
      </c>
      <c r="AA92" s="5">
        <f>IF(AC92&lt;&gt;"OK","",ROUND(E92*U92,2))</f>
        <v/>
      </c>
      <c r="AB92" s="5">
        <f>IF(AC92&lt;&gt;"OK","",Z92-AA92)</f>
        <v/>
      </c>
      <c r="AC92" s="7">
        <f>IF((IF(G92="",0,IF(IFERROR(IF(VLOOKUP(G92,Materialen!$A$2:$I$39,9,0)="",0,VLOOKUP(G92,Materialen!$A$2:$I$39,9,0)),0)=0,1,0))+IF(I92="",0,IF(IFERROR(IF(VLOOKUP(I92,Materialen!$A$2:$I$39,9,0)="",0,VLOOKUP(I92,Materialen!$A$2:$I$39,9,0)),0)=0,1,0))+IF(K92="",0,IF(IFERROR(IF(VLOOKUP(K92,Materialen!$A$2:$I$39,9,0)="",0,VLOOKUP(K92,Materialen!$A$2:$I$39,9,0)),0)=0,1,0))+IF(M92="",0,IF(IFERROR(IF(VLOOKUP(M92,Materialen!$A$2:$I$39,9,0)="",0,VLOOKUP(M92,Materialen!$A$2:$I$39,9,0)),0)=0,1,0)))&gt;0,"aankoopprijs ontbreekt",IF(AND(G92="",K92="",N(T92)=0,N(R92)=0),"kost invullen (arbeid/overig)","OK"))</f>
        <v/>
      </c>
      <c r="AD92" s="7" t="inlineStr"/>
    </row>
    <row r="93">
      <c r="A93" s="7" t="n">
        <v>92</v>
      </c>
      <c r="B93" s="7" t="inlineStr">
        <is>
          <t>Impression noir ou quadrichromie sur dibond 3mm</t>
        </is>
      </c>
      <c r="C93" s="7" t="inlineStr">
        <is>
          <t>&gt; 2 m² et &lt;= 5 m²</t>
        </is>
      </c>
      <c r="D93" s="7" t="inlineStr">
        <is>
          <t>m²</t>
        </is>
      </c>
      <c r="E93" s="7" t="n">
        <v>5</v>
      </c>
      <c r="F93" s="5" t="n">
        <v>74</v>
      </c>
      <c r="G93" s="7" t="inlineStr">
        <is>
          <t>M40</t>
        </is>
      </c>
      <c r="H93" s="20" t="n">
        <v>1</v>
      </c>
      <c r="I93" s="7" t="n"/>
      <c r="J93" s="20" t="n"/>
      <c r="K93" s="7" t="n"/>
      <c r="L93" s="7" t="n"/>
      <c r="M93" s="7" t="n"/>
      <c r="N93" s="7" t="n"/>
      <c r="O93" s="6">
        <f>IF(G93="","",IF(IFERROR(VLOOKUP(G93,Materialen!$A$2:$I$39,4,0),"")="plaat",Instellingen!$B$4,Instellingen!$B$3))</f>
        <v/>
      </c>
      <c r="P93" s="5">
        <f>ROUND(N(H93)*IFERROR(IF(VLOOKUP(G93,Materialen!$A$2:$I$39,9,0)="",0,VLOOKUP(G93,Materialen!$A$2:$I$39,9,0)),0)*(1+N(O93))+N(J93)*IFERROR(IF(VLOOKUP(I93,Materialen!$A$2:$I$39,9,0)="",0,VLOOKUP(I93,Materialen!$A$2:$I$39,9,0)),0)*(1+N(O93))+N(L93)*IFERROR(IF(VLOOKUP(K93,Materialen!$A$2:$I$39,9,0)="",0,VLOOKUP(K93,Materialen!$A$2:$I$39,9,0)),0)+N(N93)*IFERROR(IF(VLOOKUP(M93,Materialen!$A$2:$I$39,9,0)="",0,VLOOKUP(M93,Materialen!$A$2:$I$39,9,0)),0),2)</f>
        <v/>
      </c>
      <c r="Q93" s="5">
        <f>IF(G93="",0,IF(IFERROR(VLOOKUP(G93,Materialen!$A$2:$I$39,5,0),"N")="J",ROUND(N(H93)*(1+N(O93))*Instellingen!$B$8,2),0))</f>
        <v/>
      </c>
      <c r="R93" s="18" t="n"/>
      <c r="S93" s="5">
        <f>ROUND(N(R93)/60*Instellingen!$B$9,2)</f>
        <v/>
      </c>
      <c r="T93" s="14" t="n"/>
      <c r="U93" s="5">
        <f>P93+Q93+S93+N(T93)</f>
        <v/>
      </c>
      <c r="V93" s="5">
        <f>IF(AC93&lt;&gt;"OK","",F93-U93)</f>
        <v/>
      </c>
      <c r="W93" s="6">
        <f>IF(OR(F93=0,AC93&lt;&gt;"OK"),"",V93/F93)</f>
        <v/>
      </c>
      <c r="X93" s="5">
        <f>IF(N(H93)&gt;0,F93/H93,"")</f>
        <v/>
      </c>
      <c r="Y93" s="5">
        <f>IF(N(H93)&gt;0,IFERROR(IF(VLOOKUP(G93,Materialen!$A$2:$I$39,9,0)="",0,VLOOKUP(G93,Materialen!$A$2:$I$39,9,0)),0),"")</f>
        <v/>
      </c>
      <c r="Z93" s="5">
        <f>ROUND(E93*F93,2)</f>
        <v/>
      </c>
      <c r="AA93" s="5">
        <f>IF(AC93&lt;&gt;"OK","",ROUND(E93*U93,2))</f>
        <v/>
      </c>
      <c r="AB93" s="5">
        <f>IF(AC93&lt;&gt;"OK","",Z93-AA93)</f>
        <v/>
      </c>
      <c r="AC93" s="7">
        <f>IF((IF(G93="",0,IF(IFERROR(IF(VLOOKUP(G93,Materialen!$A$2:$I$39,9,0)="",0,VLOOKUP(G93,Materialen!$A$2:$I$39,9,0)),0)=0,1,0))+IF(I93="",0,IF(IFERROR(IF(VLOOKUP(I93,Materialen!$A$2:$I$39,9,0)="",0,VLOOKUP(I93,Materialen!$A$2:$I$39,9,0)),0)=0,1,0))+IF(K93="",0,IF(IFERROR(IF(VLOOKUP(K93,Materialen!$A$2:$I$39,9,0)="",0,VLOOKUP(K93,Materialen!$A$2:$I$39,9,0)),0)=0,1,0))+IF(M93="",0,IF(IFERROR(IF(VLOOKUP(M93,Materialen!$A$2:$I$39,9,0)="",0,VLOOKUP(M93,Materialen!$A$2:$I$39,9,0)),0)=0,1,0)))&gt;0,"aankoopprijs ontbreekt",IF(AND(G93="",K93="",N(T93)=0,N(R93)=0),"kost invullen (arbeid/overig)","OK"))</f>
        <v/>
      </c>
      <c r="AD93" s="7" t="inlineStr"/>
    </row>
    <row r="94">
      <c r="A94" s="7" t="n">
        <v>93</v>
      </c>
      <c r="B94" s="7" t="inlineStr">
        <is>
          <t>Impression noir ou quadrichromie sur dibond 3mm</t>
        </is>
      </c>
      <c r="C94" s="7" t="inlineStr">
        <is>
          <t>&gt; 5 m² et &lt;= 10 m²</t>
        </is>
      </c>
      <c r="D94" s="7" t="inlineStr">
        <is>
          <t>m²</t>
        </is>
      </c>
      <c r="E94" s="7" t="n">
        <v>5</v>
      </c>
      <c r="F94" s="5" t="n">
        <v>66</v>
      </c>
      <c r="G94" s="7" t="inlineStr">
        <is>
          <t>M40</t>
        </is>
      </c>
      <c r="H94" s="20" t="n">
        <v>1</v>
      </c>
      <c r="I94" s="7" t="n"/>
      <c r="J94" s="20" t="n"/>
      <c r="K94" s="7" t="n"/>
      <c r="L94" s="7" t="n"/>
      <c r="M94" s="7" t="n"/>
      <c r="N94" s="7" t="n"/>
      <c r="O94" s="6">
        <f>IF(G94="","",IF(IFERROR(VLOOKUP(G94,Materialen!$A$2:$I$39,4,0),"")="plaat",Instellingen!$B$4,Instellingen!$B$3))</f>
        <v/>
      </c>
      <c r="P94" s="5">
        <f>ROUND(N(H94)*IFERROR(IF(VLOOKUP(G94,Materialen!$A$2:$I$39,9,0)="",0,VLOOKUP(G94,Materialen!$A$2:$I$39,9,0)),0)*(1+N(O94))+N(J94)*IFERROR(IF(VLOOKUP(I94,Materialen!$A$2:$I$39,9,0)="",0,VLOOKUP(I94,Materialen!$A$2:$I$39,9,0)),0)*(1+N(O94))+N(L94)*IFERROR(IF(VLOOKUP(K94,Materialen!$A$2:$I$39,9,0)="",0,VLOOKUP(K94,Materialen!$A$2:$I$39,9,0)),0)+N(N94)*IFERROR(IF(VLOOKUP(M94,Materialen!$A$2:$I$39,9,0)="",0,VLOOKUP(M94,Materialen!$A$2:$I$39,9,0)),0),2)</f>
        <v/>
      </c>
      <c r="Q94" s="5">
        <f>IF(G94="",0,IF(IFERROR(VLOOKUP(G94,Materialen!$A$2:$I$39,5,0),"N")="J",ROUND(N(H94)*(1+N(O94))*Instellingen!$B$8,2),0))</f>
        <v/>
      </c>
      <c r="R94" s="18" t="n"/>
      <c r="S94" s="5">
        <f>ROUND(N(R94)/60*Instellingen!$B$9,2)</f>
        <v/>
      </c>
      <c r="T94" s="14" t="n"/>
      <c r="U94" s="5">
        <f>P94+Q94+S94+N(T94)</f>
        <v/>
      </c>
      <c r="V94" s="5">
        <f>IF(AC94&lt;&gt;"OK","",F94-U94)</f>
        <v/>
      </c>
      <c r="W94" s="6">
        <f>IF(OR(F94=0,AC94&lt;&gt;"OK"),"",V94/F94)</f>
        <v/>
      </c>
      <c r="X94" s="5">
        <f>IF(N(H94)&gt;0,F94/H94,"")</f>
        <v/>
      </c>
      <c r="Y94" s="5">
        <f>IF(N(H94)&gt;0,IFERROR(IF(VLOOKUP(G94,Materialen!$A$2:$I$39,9,0)="",0,VLOOKUP(G94,Materialen!$A$2:$I$39,9,0)),0),"")</f>
        <v/>
      </c>
      <c r="Z94" s="5">
        <f>ROUND(E94*F94,2)</f>
        <v/>
      </c>
      <c r="AA94" s="5">
        <f>IF(AC94&lt;&gt;"OK","",ROUND(E94*U94,2))</f>
        <v/>
      </c>
      <c r="AB94" s="5">
        <f>IF(AC94&lt;&gt;"OK","",Z94-AA94)</f>
        <v/>
      </c>
      <c r="AC94" s="7">
        <f>IF((IF(G94="",0,IF(IFERROR(IF(VLOOKUP(G94,Materialen!$A$2:$I$39,9,0)="",0,VLOOKUP(G94,Materialen!$A$2:$I$39,9,0)),0)=0,1,0))+IF(I94="",0,IF(IFERROR(IF(VLOOKUP(I94,Materialen!$A$2:$I$39,9,0)="",0,VLOOKUP(I94,Materialen!$A$2:$I$39,9,0)),0)=0,1,0))+IF(K94="",0,IF(IFERROR(IF(VLOOKUP(K94,Materialen!$A$2:$I$39,9,0)="",0,VLOOKUP(K94,Materialen!$A$2:$I$39,9,0)),0)=0,1,0))+IF(M94="",0,IF(IFERROR(IF(VLOOKUP(M94,Materialen!$A$2:$I$39,9,0)="",0,VLOOKUP(M94,Materialen!$A$2:$I$39,9,0)),0)=0,1,0)))&gt;0,"aankoopprijs ontbreekt",IF(AND(G94="",K94="",N(T94)=0,N(R94)=0),"kost invullen (arbeid/overig)","OK"))</f>
        <v/>
      </c>
      <c r="AD94" s="7" t="inlineStr"/>
    </row>
    <row r="95">
      <c r="A95" s="7" t="n">
        <v>94</v>
      </c>
      <c r="B95" s="7" t="inlineStr">
        <is>
          <t>Impression noir ou quadrichromie sur dibond 3mm</t>
        </is>
      </c>
      <c r="C95" s="7" t="inlineStr">
        <is>
          <t>&gt; 10 m² et &lt;= 25 m²</t>
        </is>
      </c>
      <c r="D95" s="7" t="inlineStr">
        <is>
          <t>m²</t>
        </is>
      </c>
      <c r="E95" s="7" t="n">
        <v>5</v>
      </c>
      <c r="F95" s="5" t="n">
        <v>59</v>
      </c>
      <c r="G95" s="7" t="inlineStr">
        <is>
          <t>M40</t>
        </is>
      </c>
      <c r="H95" s="20" t="n">
        <v>1</v>
      </c>
      <c r="I95" s="7" t="n"/>
      <c r="J95" s="20" t="n"/>
      <c r="K95" s="7" t="n"/>
      <c r="L95" s="7" t="n"/>
      <c r="M95" s="7" t="n"/>
      <c r="N95" s="7" t="n"/>
      <c r="O95" s="6">
        <f>IF(G95="","",IF(IFERROR(VLOOKUP(G95,Materialen!$A$2:$I$39,4,0),"")="plaat",Instellingen!$B$4,Instellingen!$B$3))</f>
        <v/>
      </c>
      <c r="P95" s="5">
        <f>ROUND(N(H95)*IFERROR(IF(VLOOKUP(G95,Materialen!$A$2:$I$39,9,0)="",0,VLOOKUP(G95,Materialen!$A$2:$I$39,9,0)),0)*(1+N(O95))+N(J95)*IFERROR(IF(VLOOKUP(I95,Materialen!$A$2:$I$39,9,0)="",0,VLOOKUP(I95,Materialen!$A$2:$I$39,9,0)),0)*(1+N(O95))+N(L95)*IFERROR(IF(VLOOKUP(K95,Materialen!$A$2:$I$39,9,0)="",0,VLOOKUP(K95,Materialen!$A$2:$I$39,9,0)),0)+N(N95)*IFERROR(IF(VLOOKUP(M95,Materialen!$A$2:$I$39,9,0)="",0,VLOOKUP(M95,Materialen!$A$2:$I$39,9,0)),0),2)</f>
        <v/>
      </c>
      <c r="Q95" s="5">
        <f>IF(G95="",0,IF(IFERROR(VLOOKUP(G95,Materialen!$A$2:$I$39,5,0),"N")="J",ROUND(N(H95)*(1+N(O95))*Instellingen!$B$8,2),0))</f>
        <v/>
      </c>
      <c r="R95" s="18" t="n"/>
      <c r="S95" s="5">
        <f>ROUND(N(R95)/60*Instellingen!$B$9,2)</f>
        <v/>
      </c>
      <c r="T95" s="14" t="n"/>
      <c r="U95" s="5">
        <f>P95+Q95+S95+N(T95)</f>
        <v/>
      </c>
      <c r="V95" s="5">
        <f>IF(AC95&lt;&gt;"OK","",F95-U95)</f>
        <v/>
      </c>
      <c r="W95" s="6">
        <f>IF(OR(F95=0,AC95&lt;&gt;"OK"),"",V95/F95)</f>
        <v/>
      </c>
      <c r="X95" s="5">
        <f>IF(N(H95)&gt;0,F95/H95,"")</f>
        <v/>
      </c>
      <c r="Y95" s="5">
        <f>IF(N(H95)&gt;0,IFERROR(IF(VLOOKUP(G95,Materialen!$A$2:$I$39,9,0)="",0,VLOOKUP(G95,Materialen!$A$2:$I$39,9,0)),0),"")</f>
        <v/>
      </c>
      <c r="Z95" s="5">
        <f>ROUND(E95*F95,2)</f>
        <v/>
      </c>
      <c r="AA95" s="5">
        <f>IF(AC95&lt;&gt;"OK","",ROUND(E95*U95,2))</f>
        <v/>
      </c>
      <c r="AB95" s="5">
        <f>IF(AC95&lt;&gt;"OK","",Z95-AA95)</f>
        <v/>
      </c>
      <c r="AC95" s="7">
        <f>IF((IF(G95="",0,IF(IFERROR(IF(VLOOKUP(G95,Materialen!$A$2:$I$39,9,0)="",0,VLOOKUP(G95,Materialen!$A$2:$I$39,9,0)),0)=0,1,0))+IF(I95="",0,IF(IFERROR(IF(VLOOKUP(I95,Materialen!$A$2:$I$39,9,0)="",0,VLOOKUP(I95,Materialen!$A$2:$I$39,9,0)),0)=0,1,0))+IF(K95="",0,IF(IFERROR(IF(VLOOKUP(K95,Materialen!$A$2:$I$39,9,0)="",0,VLOOKUP(K95,Materialen!$A$2:$I$39,9,0)),0)=0,1,0))+IF(M95="",0,IF(IFERROR(IF(VLOOKUP(M95,Materialen!$A$2:$I$39,9,0)="",0,VLOOKUP(M95,Materialen!$A$2:$I$39,9,0)),0)=0,1,0)))&gt;0,"aankoopprijs ontbreekt",IF(AND(G95="",K95="",N(T95)=0,N(R95)=0),"kost invullen (arbeid/overig)","OK"))</f>
        <v/>
      </c>
      <c r="AD95" s="7" t="inlineStr"/>
    </row>
    <row r="96">
      <c r="A96" s="7" t="n">
        <v>95</v>
      </c>
      <c r="B96" s="7" t="inlineStr">
        <is>
          <t>Impression noir ou quadrichromie sur dibond 3mm</t>
        </is>
      </c>
      <c r="C96" s="7" t="inlineStr">
        <is>
          <t>&gt; 25 m²</t>
        </is>
      </c>
      <c r="D96" s="7" t="inlineStr">
        <is>
          <t>m²</t>
        </is>
      </c>
      <c r="E96" s="7" t="n">
        <v>5</v>
      </c>
      <c r="F96" s="5" t="n">
        <v>54</v>
      </c>
      <c r="G96" s="7" t="inlineStr">
        <is>
          <t>M40</t>
        </is>
      </c>
      <c r="H96" s="20" t="n">
        <v>1</v>
      </c>
      <c r="I96" s="7" t="n"/>
      <c r="J96" s="20" t="n"/>
      <c r="K96" s="7" t="n"/>
      <c r="L96" s="7" t="n"/>
      <c r="M96" s="7" t="n"/>
      <c r="N96" s="7" t="n"/>
      <c r="O96" s="6">
        <f>IF(G96="","",IF(IFERROR(VLOOKUP(G96,Materialen!$A$2:$I$39,4,0),"")="plaat",Instellingen!$B$4,Instellingen!$B$3))</f>
        <v/>
      </c>
      <c r="P96" s="5">
        <f>ROUND(N(H96)*IFERROR(IF(VLOOKUP(G96,Materialen!$A$2:$I$39,9,0)="",0,VLOOKUP(G96,Materialen!$A$2:$I$39,9,0)),0)*(1+N(O96))+N(J96)*IFERROR(IF(VLOOKUP(I96,Materialen!$A$2:$I$39,9,0)="",0,VLOOKUP(I96,Materialen!$A$2:$I$39,9,0)),0)*(1+N(O96))+N(L96)*IFERROR(IF(VLOOKUP(K96,Materialen!$A$2:$I$39,9,0)="",0,VLOOKUP(K96,Materialen!$A$2:$I$39,9,0)),0)+N(N96)*IFERROR(IF(VLOOKUP(M96,Materialen!$A$2:$I$39,9,0)="",0,VLOOKUP(M96,Materialen!$A$2:$I$39,9,0)),0),2)</f>
        <v/>
      </c>
      <c r="Q96" s="5">
        <f>IF(G96="",0,IF(IFERROR(VLOOKUP(G96,Materialen!$A$2:$I$39,5,0),"N")="J",ROUND(N(H96)*(1+N(O96))*Instellingen!$B$8,2),0))</f>
        <v/>
      </c>
      <c r="R96" s="18" t="n"/>
      <c r="S96" s="5">
        <f>ROUND(N(R96)/60*Instellingen!$B$9,2)</f>
        <v/>
      </c>
      <c r="T96" s="14" t="n"/>
      <c r="U96" s="5">
        <f>P96+Q96+S96+N(T96)</f>
        <v/>
      </c>
      <c r="V96" s="5">
        <f>IF(AC96&lt;&gt;"OK","",F96-U96)</f>
        <v/>
      </c>
      <c r="W96" s="6">
        <f>IF(OR(F96=0,AC96&lt;&gt;"OK"),"",V96/F96)</f>
        <v/>
      </c>
      <c r="X96" s="5">
        <f>IF(N(H96)&gt;0,F96/H96,"")</f>
        <v/>
      </c>
      <c r="Y96" s="5">
        <f>IF(N(H96)&gt;0,IFERROR(IF(VLOOKUP(G96,Materialen!$A$2:$I$39,9,0)="",0,VLOOKUP(G96,Materialen!$A$2:$I$39,9,0)),0),"")</f>
        <v/>
      </c>
      <c r="Z96" s="5">
        <f>ROUND(E96*F96,2)</f>
        <v/>
      </c>
      <c r="AA96" s="5">
        <f>IF(AC96&lt;&gt;"OK","",ROUND(E96*U96,2))</f>
        <v/>
      </c>
      <c r="AB96" s="5">
        <f>IF(AC96&lt;&gt;"OK","",Z96-AA96)</f>
        <v/>
      </c>
      <c r="AC96" s="7">
        <f>IF((IF(G96="",0,IF(IFERROR(IF(VLOOKUP(G96,Materialen!$A$2:$I$39,9,0)="",0,VLOOKUP(G96,Materialen!$A$2:$I$39,9,0)),0)=0,1,0))+IF(I96="",0,IF(IFERROR(IF(VLOOKUP(I96,Materialen!$A$2:$I$39,9,0)="",0,VLOOKUP(I96,Materialen!$A$2:$I$39,9,0)),0)=0,1,0))+IF(K96="",0,IF(IFERROR(IF(VLOOKUP(K96,Materialen!$A$2:$I$39,9,0)="",0,VLOOKUP(K96,Materialen!$A$2:$I$39,9,0)),0)=0,1,0))+IF(M96="",0,IF(IFERROR(IF(VLOOKUP(M96,Materialen!$A$2:$I$39,9,0)="",0,VLOOKUP(M96,Materialen!$A$2:$I$39,9,0)),0)=0,1,0)))&gt;0,"aankoopprijs ontbreekt",IF(AND(G96="",K96="",N(T96)=0,N(R96)=0),"kost invullen (arbeid/overig)","OK"))</f>
        <v/>
      </c>
      <c r="AD96" s="7" t="inlineStr"/>
    </row>
    <row r="97">
      <c r="A97" s="7" t="n">
        <v>96</v>
      </c>
      <c r="B97" s="7" t="inlineStr">
        <is>
          <t>2cm</t>
        </is>
      </c>
      <c r="C97" s="7" t="inlineStr">
        <is>
          <t>&gt;= A2 et &lt;= 1 m²</t>
        </is>
      </c>
      <c r="D97" s="7" t="inlineStr">
        <is>
          <t>m²</t>
        </is>
      </c>
      <c r="E97" s="7" t="n">
        <v>5</v>
      </c>
      <c r="F97" s="5" t="n">
        <v>85</v>
      </c>
      <c r="G97" s="7" t="inlineStr">
        <is>
          <t>M41</t>
        </is>
      </c>
      <c r="H97" s="20" t="n">
        <v>1</v>
      </c>
      <c r="I97" s="7" t="inlineStr">
        <is>
          <t>M42</t>
        </is>
      </c>
      <c r="J97" s="20" t="n">
        <v>1</v>
      </c>
      <c r="K97" s="7" t="n"/>
      <c r="L97" s="7" t="n"/>
      <c r="M97" s="7" t="n"/>
      <c r="N97" s="7" t="n"/>
      <c r="O97" s="6">
        <f>IF(G97="","",IF(IFERROR(VLOOKUP(G97,Materialen!$A$2:$I$39,4,0),"")="plaat",Instellingen!$B$4,Instellingen!$B$3))</f>
        <v/>
      </c>
      <c r="P97" s="5">
        <f>ROUND(N(H97)*IFERROR(IF(VLOOKUP(G97,Materialen!$A$2:$I$39,9,0)="",0,VLOOKUP(G97,Materialen!$A$2:$I$39,9,0)),0)*(1+N(O97))+N(J97)*IFERROR(IF(VLOOKUP(I97,Materialen!$A$2:$I$39,9,0)="",0,VLOOKUP(I97,Materialen!$A$2:$I$39,9,0)),0)*(1+N(O97))+N(L97)*IFERROR(IF(VLOOKUP(K97,Materialen!$A$2:$I$39,9,0)="",0,VLOOKUP(K97,Materialen!$A$2:$I$39,9,0)),0)+N(N97)*IFERROR(IF(VLOOKUP(M97,Materialen!$A$2:$I$39,9,0)="",0,VLOOKUP(M97,Materialen!$A$2:$I$39,9,0)),0),2)</f>
        <v/>
      </c>
      <c r="Q97" s="5">
        <f>IF(G97="",0,IF(IFERROR(VLOOKUP(G97,Materialen!$A$2:$I$39,5,0),"N")="J",ROUND(N(H97)*(1+N(O97))*Instellingen!$B$8,2),0))</f>
        <v/>
      </c>
      <c r="R97" s="18" t="n"/>
      <c r="S97" s="5">
        <f>ROUND(N(R97)/60*Instellingen!$B$9,2)</f>
        <v/>
      </c>
      <c r="T97" s="14" t="n"/>
      <c r="U97" s="5">
        <f>P97+Q97+S97+N(T97)</f>
        <v/>
      </c>
      <c r="V97" s="5">
        <f>IF(AC97&lt;&gt;"OK","",F97-U97)</f>
        <v/>
      </c>
      <c r="W97" s="6">
        <f>IF(OR(F97=0,AC97&lt;&gt;"OK"),"",V97/F97)</f>
        <v/>
      </c>
      <c r="X97" s="5">
        <f>IF(N(H97)&gt;0,F97/H97,"")</f>
        <v/>
      </c>
      <c r="Y97" s="5">
        <f>IF(N(H97)&gt;0,IFERROR(IF(VLOOKUP(G97,Materialen!$A$2:$I$39,9,0)="",0,VLOOKUP(G97,Materialen!$A$2:$I$39,9,0)),0),"")</f>
        <v/>
      </c>
      <c r="Z97" s="5">
        <f>ROUND(E97*F97,2)</f>
        <v/>
      </c>
      <c r="AA97" s="5">
        <f>IF(AC97&lt;&gt;"OK","",ROUND(E97*U97,2))</f>
        <v/>
      </c>
      <c r="AB97" s="5">
        <f>IF(AC97&lt;&gt;"OK","",Z97-AA97)</f>
        <v/>
      </c>
      <c r="AC97" s="7">
        <f>IF((IF(G97="",0,IF(IFERROR(IF(VLOOKUP(G97,Materialen!$A$2:$I$39,9,0)="",0,VLOOKUP(G97,Materialen!$A$2:$I$39,9,0)),0)=0,1,0))+IF(I97="",0,IF(IFERROR(IF(VLOOKUP(I97,Materialen!$A$2:$I$39,9,0)="",0,VLOOKUP(I97,Materialen!$A$2:$I$39,9,0)),0)=0,1,0))+IF(K97="",0,IF(IFERROR(IF(VLOOKUP(K97,Materialen!$A$2:$I$39,9,0)="",0,VLOOKUP(K97,Materialen!$A$2:$I$39,9,0)),0)=0,1,0))+IF(M97="",0,IF(IFERROR(IF(VLOOKUP(M97,Materialen!$A$2:$I$39,9,0)="",0,VLOOKUP(M97,Materialen!$A$2:$I$39,9,0)),0)=0,1,0)))&gt;0,"aankoopprijs ontbreekt",IF(AND(G97="",K97="",N(T97)=0,N(R97)=0),"kost invullen (arbeid/overig)","OK"))</f>
        <v/>
      </c>
      <c r="AD97" s="7" t="inlineStr">
        <is>
          <t>Wieden/plotten = vooral arbeid</t>
        </is>
      </c>
    </row>
    <row r="98">
      <c r="A98" s="7" t="n">
        <v>97</v>
      </c>
      <c r="B98" s="7" t="inlineStr">
        <is>
          <t>2cm</t>
        </is>
      </c>
      <c r="C98" s="7" t="inlineStr">
        <is>
          <t>&gt; 1 m² et &lt;= 2 m²</t>
        </is>
      </c>
      <c r="D98" s="7" t="inlineStr">
        <is>
          <t>m²</t>
        </is>
      </c>
      <c r="E98" s="7" t="n">
        <v>5</v>
      </c>
      <c r="F98" s="5" t="n">
        <v>75</v>
      </c>
      <c r="G98" s="7" t="inlineStr">
        <is>
          <t>M41</t>
        </is>
      </c>
      <c r="H98" s="20" t="n">
        <v>1</v>
      </c>
      <c r="I98" s="7" t="inlineStr">
        <is>
          <t>M42</t>
        </is>
      </c>
      <c r="J98" s="20" t="n">
        <v>1</v>
      </c>
      <c r="K98" s="7" t="n"/>
      <c r="L98" s="7" t="n"/>
      <c r="M98" s="7" t="n"/>
      <c r="N98" s="7" t="n"/>
      <c r="O98" s="6">
        <f>IF(G98="","",IF(IFERROR(VLOOKUP(G98,Materialen!$A$2:$I$39,4,0),"")="plaat",Instellingen!$B$4,Instellingen!$B$3))</f>
        <v/>
      </c>
      <c r="P98" s="5">
        <f>ROUND(N(H98)*IFERROR(IF(VLOOKUP(G98,Materialen!$A$2:$I$39,9,0)="",0,VLOOKUP(G98,Materialen!$A$2:$I$39,9,0)),0)*(1+N(O98))+N(J98)*IFERROR(IF(VLOOKUP(I98,Materialen!$A$2:$I$39,9,0)="",0,VLOOKUP(I98,Materialen!$A$2:$I$39,9,0)),0)*(1+N(O98))+N(L98)*IFERROR(IF(VLOOKUP(K98,Materialen!$A$2:$I$39,9,0)="",0,VLOOKUP(K98,Materialen!$A$2:$I$39,9,0)),0)+N(N98)*IFERROR(IF(VLOOKUP(M98,Materialen!$A$2:$I$39,9,0)="",0,VLOOKUP(M98,Materialen!$A$2:$I$39,9,0)),0),2)</f>
        <v/>
      </c>
      <c r="Q98" s="5">
        <f>IF(G98="",0,IF(IFERROR(VLOOKUP(G98,Materialen!$A$2:$I$39,5,0),"N")="J",ROUND(N(H98)*(1+N(O98))*Instellingen!$B$8,2),0))</f>
        <v/>
      </c>
      <c r="R98" s="18" t="n"/>
      <c r="S98" s="5">
        <f>ROUND(N(R98)/60*Instellingen!$B$9,2)</f>
        <v/>
      </c>
      <c r="T98" s="14" t="n"/>
      <c r="U98" s="5">
        <f>P98+Q98+S98+N(T98)</f>
        <v/>
      </c>
      <c r="V98" s="5">
        <f>IF(AC98&lt;&gt;"OK","",F98-U98)</f>
        <v/>
      </c>
      <c r="W98" s="6">
        <f>IF(OR(F98=0,AC98&lt;&gt;"OK"),"",V98/F98)</f>
        <v/>
      </c>
      <c r="X98" s="5">
        <f>IF(N(H98)&gt;0,F98/H98,"")</f>
        <v/>
      </c>
      <c r="Y98" s="5">
        <f>IF(N(H98)&gt;0,IFERROR(IF(VLOOKUP(G98,Materialen!$A$2:$I$39,9,0)="",0,VLOOKUP(G98,Materialen!$A$2:$I$39,9,0)),0),"")</f>
        <v/>
      </c>
      <c r="Z98" s="5">
        <f>ROUND(E98*F98,2)</f>
        <v/>
      </c>
      <c r="AA98" s="5">
        <f>IF(AC98&lt;&gt;"OK","",ROUND(E98*U98,2))</f>
        <v/>
      </c>
      <c r="AB98" s="5">
        <f>IF(AC98&lt;&gt;"OK","",Z98-AA98)</f>
        <v/>
      </c>
      <c r="AC98" s="7">
        <f>IF((IF(G98="",0,IF(IFERROR(IF(VLOOKUP(G98,Materialen!$A$2:$I$39,9,0)="",0,VLOOKUP(G98,Materialen!$A$2:$I$39,9,0)),0)=0,1,0))+IF(I98="",0,IF(IFERROR(IF(VLOOKUP(I98,Materialen!$A$2:$I$39,9,0)="",0,VLOOKUP(I98,Materialen!$A$2:$I$39,9,0)),0)=0,1,0))+IF(K98="",0,IF(IFERROR(IF(VLOOKUP(K98,Materialen!$A$2:$I$39,9,0)="",0,VLOOKUP(K98,Materialen!$A$2:$I$39,9,0)),0)=0,1,0))+IF(M98="",0,IF(IFERROR(IF(VLOOKUP(M98,Materialen!$A$2:$I$39,9,0)="",0,VLOOKUP(M98,Materialen!$A$2:$I$39,9,0)),0)=0,1,0)))&gt;0,"aankoopprijs ontbreekt",IF(AND(G98="",K98="",N(T98)=0,N(R98)=0),"kost invullen (arbeid/overig)","OK"))</f>
        <v/>
      </c>
      <c r="AD98" s="7" t="inlineStr">
        <is>
          <t>Wieden/plotten = vooral arbeid</t>
        </is>
      </c>
    </row>
    <row r="99">
      <c r="A99" s="7" t="n">
        <v>98</v>
      </c>
      <c r="B99" s="7" t="inlineStr">
        <is>
          <t>2cm</t>
        </is>
      </c>
      <c r="C99" s="7" t="inlineStr">
        <is>
          <t>&gt; 2 m² et &lt;= 5 m²</t>
        </is>
      </c>
      <c r="D99" s="7" t="inlineStr">
        <is>
          <t>m²</t>
        </is>
      </c>
      <c r="E99" s="7" t="n">
        <v>5</v>
      </c>
      <c r="F99" s="5" t="n">
        <v>68</v>
      </c>
      <c r="G99" s="7" t="inlineStr">
        <is>
          <t>M41</t>
        </is>
      </c>
      <c r="H99" s="20" t="n">
        <v>1</v>
      </c>
      <c r="I99" s="7" t="inlineStr">
        <is>
          <t>M42</t>
        </is>
      </c>
      <c r="J99" s="20" t="n">
        <v>1</v>
      </c>
      <c r="K99" s="7" t="n"/>
      <c r="L99" s="7" t="n"/>
      <c r="M99" s="7" t="n"/>
      <c r="N99" s="7" t="n"/>
      <c r="O99" s="6">
        <f>IF(G99="","",IF(IFERROR(VLOOKUP(G99,Materialen!$A$2:$I$39,4,0),"")="plaat",Instellingen!$B$4,Instellingen!$B$3))</f>
        <v/>
      </c>
      <c r="P99" s="5">
        <f>ROUND(N(H99)*IFERROR(IF(VLOOKUP(G99,Materialen!$A$2:$I$39,9,0)="",0,VLOOKUP(G99,Materialen!$A$2:$I$39,9,0)),0)*(1+N(O99))+N(J99)*IFERROR(IF(VLOOKUP(I99,Materialen!$A$2:$I$39,9,0)="",0,VLOOKUP(I99,Materialen!$A$2:$I$39,9,0)),0)*(1+N(O99))+N(L99)*IFERROR(IF(VLOOKUP(K99,Materialen!$A$2:$I$39,9,0)="",0,VLOOKUP(K99,Materialen!$A$2:$I$39,9,0)),0)+N(N99)*IFERROR(IF(VLOOKUP(M99,Materialen!$A$2:$I$39,9,0)="",0,VLOOKUP(M99,Materialen!$A$2:$I$39,9,0)),0),2)</f>
        <v/>
      </c>
      <c r="Q99" s="5">
        <f>IF(G99="",0,IF(IFERROR(VLOOKUP(G99,Materialen!$A$2:$I$39,5,0),"N")="J",ROUND(N(H99)*(1+N(O99))*Instellingen!$B$8,2),0))</f>
        <v/>
      </c>
      <c r="R99" s="18" t="n"/>
      <c r="S99" s="5">
        <f>ROUND(N(R99)/60*Instellingen!$B$9,2)</f>
        <v/>
      </c>
      <c r="T99" s="14" t="n"/>
      <c r="U99" s="5">
        <f>P99+Q99+S99+N(T99)</f>
        <v/>
      </c>
      <c r="V99" s="5">
        <f>IF(AC99&lt;&gt;"OK","",F99-U99)</f>
        <v/>
      </c>
      <c r="W99" s="6">
        <f>IF(OR(F99=0,AC99&lt;&gt;"OK"),"",V99/F99)</f>
        <v/>
      </c>
      <c r="X99" s="5">
        <f>IF(N(H99)&gt;0,F99/H99,"")</f>
        <v/>
      </c>
      <c r="Y99" s="5">
        <f>IF(N(H99)&gt;0,IFERROR(IF(VLOOKUP(G99,Materialen!$A$2:$I$39,9,0)="",0,VLOOKUP(G99,Materialen!$A$2:$I$39,9,0)),0),"")</f>
        <v/>
      </c>
      <c r="Z99" s="5">
        <f>ROUND(E99*F99,2)</f>
        <v/>
      </c>
      <c r="AA99" s="5">
        <f>IF(AC99&lt;&gt;"OK","",ROUND(E99*U99,2))</f>
        <v/>
      </c>
      <c r="AB99" s="5">
        <f>IF(AC99&lt;&gt;"OK","",Z99-AA99)</f>
        <v/>
      </c>
      <c r="AC99" s="7">
        <f>IF((IF(G99="",0,IF(IFERROR(IF(VLOOKUP(G99,Materialen!$A$2:$I$39,9,0)="",0,VLOOKUP(G99,Materialen!$A$2:$I$39,9,0)),0)=0,1,0))+IF(I99="",0,IF(IFERROR(IF(VLOOKUP(I99,Materialen!$A$2:$I$39,9,0)="",0,VLOOKUP(I99,Materialen!$A$2:$I$39,9,0)),0)=0,1,0))+IF(K99="",0,IF(IFERROR(IF(VLOOKUP(K99,Materialen!$A$2:$I$39,9,0)="",0,VLOOKUP(K99,Materialen!$A$2:$I$39,9,0)),0)=0,1,0))+IF(M99="",0,IF(IFERROR(IF(VLOOKUP(M99,Materialen!$A$2:$I$39,9,0)="",0,VLOOKUP(M99,Materialen!$A$2:$I$39,9,0)),0)=0,1,0)))&gt;0,"aankoopprijs ontbreekt",IF(AND(G99="",K99="",N(T99)=0,N(R99)=0),"kost invullen (arbeid/overig)","OK"))</f>
        <v/>
      </c>
      <c r="AD99" s="7" t="inlineStr">
        <is>
          <t>Wieden/plotten = vooral arbeid</t>
        </is>
      </c>
    </row>
    <row r="100">
      <c r="A100" s="7" t="n">
        <v>99</v>
      </c>
      <c r="B100" s="7" t="inlineStr">
        <is>
          <t>2cm</t>
        </is>
      </c>
      <c r="C100" s="7" t="inlineStr">
        <is>
          <t>&gt; 5 m² et &lt;= 10 m²</t>
        </is>
      </c>
      <c r="D100" s="7" t="inlineStr">
        <is>
          <t>m²</t>
        </is>
      </c>
      <c r="E100" s="7" t="n">
        <v>5</v>
      </c>
      <c r="F100" s="5" t="n">
        <v>62</v>
      </c>
      <c r="G100" s="7" t="inlineStr">
        <is>
          <t>M41</t>
        </is>
      </c>
      <c r="H100" s="20" t="n">
        <v>1</v>
      </c>
      <c r="I100" s="7" t="inlineStr">
        <is>
          <t>M42</t>
        </is>
      </c>
      <c r="J100" s="20" t="n">
        <v>1</v>
      </c>
      <c r="K100" s="7" t="n"/>
      <c r="L100" s="7" t="n"/>
      <c r="M100" s="7" t="n"/>
      <c r="N100" s="7" t="n"/>
      <c r="O100" s="6">
        <f>IF(G100="","",IF(IFERROR(VLOOKUP(G100,Materialen!$A$2:$I$39,4,0),"")="plaat",Instellingen!$B$4,Instellingen!$B$3))</f>
        <v/>
      </c>
      <c r="P100" s="5">
        <f>ROUND(N(H100)*IFERROR(IF(VLOOKUP(G100,Materialen!$A$2:$I$39,9,0)="",0,VLOOKUP(G100,Materialen!$A$2:$I$39,9,0)),0)*(1+N(O100))+N(J100)*IFERROR(IF(VLOOKUP(I100,Materialen!$A$2:$I$39,9,0)="",0,VLOOKUP(I100,Materialen!$A$2:$I$39,9,0)),0)*(1+N(O100))+N(L100)*IFERROR(IF(VLOOKUP(K100,Materialen!$A$2:$I$39,9,0)="",0,VLOOKUP(K100,Materialen!$A$2:$I$39,9,0)),0)+N(N100)*IFERROR(IF(VLOOKUP(M100,Materialen!$A$2:$I$39,9,0)="",0,VLOOKUP(M100,Materialen!$A$2:$I$39,9,0)),0),2)</f>
        <v/>
      </c>
      <c r="Q100" s="5">
        <f>IF(G100="",0,IF(IFERROR(VLOOKUP(G100,Materialen!$A$2:$I$39,5,0),"N")="J",ROUND(N(H100)*(1+N(O100))*Instellingen!$B$8,2),0))</f>
        <v/>
      </c>
      <c r="R100" s="18" t="n"/>
      <c r="S100" s="5">
        <f>ROUND(N(R100)/60*Instellingen!$B$9,2)</f>
        <v/>
      </c>
      <c r="T100" s="14" t="n"/>
      <c r="U100" s="5">
        <f>P100+Q100+S100+N(T100)</f>
        <v/>
      </c>
      <c r="V100" s="5">
        <f>IF(AC100&lt;&gt;"OK","",F100-U100)</f>
        <v/>
      </c>
      <c r="W100" s="6">
        <f>IF(OR(F100=0,AC100&lt;&gt;"OK"),"",V100/F100)</f>
        <v/>
      </c>
      <c r="X100" s="5">
        <f>IF(N(H100)&gt;0,F100/H100,"")</f>
        <v/>
      </c>
      <c r="Y100" s="5">
        <f>IF(N(H100)&gt;0,IFERROR(IF(VLOOKUP(G100,Materialen!$A$2:$I$39,9,0)="",0,VLOOKUP(G100,Materialen!$A$2:$I$39,9,0)),0),"")</f>
        <v/>
      </c>
      <c r="Z100" s="5">
        <f>ROUND(E100*F100,2)</f>
        <v/>
      </c>
      <c r="AA100" s="5">
        <f>IF(AC100&lt;&gt;"OK","",ROUND(E100*U100,2))</f>
        <v/>
      </c>
      <c r="AB100" s="5">
        <f>IF(AC100&lt;&gt;"OK","",Z100-AA100)</f>
        <v/>
      </c>
      <c r="AC100" s="7">
        <f>IF((IF(G100="",0,IF(IFERROR(IF(VLOOKUP(G100,Materialen!$A$2:$I$39,9,0)="",0,VLOOKUP(G100,Materialen!$A$2:$I$39,9,0)),0)=0,1,0))+IF(I100="",0,IF(IFERROR(IF(VLOOKUP(I100,Materialen!$A$2:$I$39,9,0)="",0,VLOOKUP(I100,Materialen!$A$2:$I$39,9,0)),0)=0,1,0))+IF(K100="",0,IF(IFERROR(IF(VLOOKUP(K100,Materialen!$A$2:$I$39,9,0)="",0,VLOOKUP(K100,Materialen!$A$2:$I$39,9,0)),0)=0,1,0))+IF(M100="",0,IF(IFERROR(IF(VLOOKUP(M100,Materialen!$A$2:$I$39,9,0)="",0,VLOOKUP(M100,Materialen!$A$2:$I$39,9,0)),0)=0,1,0)))&gt;0,"aankoopprijs ontbreekt",IF(AND(G100="",K100="",N(T100)=0,N(R100)=0),"kost invullen (arbeid/overig)","OK"))</f>
        <v/>
      </c>
      <c r="AD100" s="7" t="inlineStr">
        <is>
          <t>Wieden/plotten = vooral arbeid</t>
        </is>
      </c>
    </row>
    <row r="101">
      <c r="A101" s="7" t="n">
        <v>100</v>
      </c>
      <c r="B101" s="7" t="inlineStr">
        <is>
          <t>2cm</t>
        </is>
      </c>
      <c r="C101" s="7" t="inlineStr">
        <is>
          <t>&gt; 10 m² et &lt;= 25 m²</t>
        </is>
      </c>
      <c r="D101" s="7" t="inlineStr">
        <is>
          <t>m²</t>
        </is>
      </c>
      <c r="E101" s="7" t="n">
        <v>5</v>
      </c>
      <c r="F101" s="5" t="n">
        <v>56</v>
      </c>
      <c r="G101" s="7" t="inlineStr">
        <is>
          <t>M41</t>
        </is>
      </c>
      <c r="H101" s="20" t="n">
        <v>1</v>
      </c>
      <c r="I101" s="7" t="inlineStr">
        <is>
          <t>M42</t>
        </is>
      </c>
      <c r="J101" s="20" t="n">
        <v>1</v>
      </c>
      <c r="K101" s="7" t="n"/>
      <c r="L101" s="7" t="n"/>
      <c r="M101" s="7" t="n"/>
      <c r="N101" s="7" t="n"/>
      <c r="O101" s="6">
        <f>IF(G101="","",IF(IFERROR(VLOOKUP(G101,Materialen!$A$2:$I$39,4,0),"")="plaat",Instellingen!$B$4,Instellingen!$B$3))</f>
        <v/>
      </c>
      <c r="P101" s="5">
        <f>ROUND(N(H101)*IFERROR(IF(VLOOKUP(G101,Materialen!$A$2:$I$39,9,0)="",0,VLOOKUP(G101,Materialen!$A$2:$I$39,9,0)),0)*(1+N(O101))+N(J101)*IFERROR(IF(VLOOKUP(I101,Materialen!$A$2:$I$39,9,0)="",0,VLOOKUP(I101,Materialen!$A$2:$I$39,9,0)),0)*(1+N(O101))+N(L101)*IFERROR(IF(VLOOKUP(K101,Materialen!$A$2:$I$39,9,0)="",0,VLOOKUP(K101,Materialen!$A$2:$I$39,9,0)),0)+N(N101)*IFERROR(IF(VLOOKUP(M101,Materialen!$A$2:$I$39,9,0)="",0,VLOOKUP(M101,Materialen!$A$2:$I$39,9,0)),0),2)</f>
        <v/>
      </c>
      <c r="Q101" s="5">
        <f>IF(G101="",0,IF(IFERROR(VLOOKUP(G101,Materialen!$A$2:$I$39,5,0),"N")="J",ROUND(N(H101)*(1+N(O101))*Instellingen!$B$8,2),0))</f>
        <v/>
      </c>
      <c r="R101" s="18" t="n"/>
      <c r="S101" s="5">
        <f>ROUND(N(R101)/60*Instellingen!$B$9,2)</f>
        <v/>
      </c>
      <c r="T101" s="14" t="n"/>
      <c r="U101" s="5">
        <f>P101+Q101+S101+N(T101)</f>
        <v/>
      </c>
      <c r="V101" s="5">
        <f>IF(AC101&lt;&gt;"OK","",F101-U101)</f>
        <v/>
      </c>
      <c r="W101" s="6">
        <f>IF(OR(F101=0,AC101&lt;&gt;"OK"),"",V101/F101)</f>
        <v/>
      </c>
      <c r="X101" s="5">
        <f>IF(N(H101)&gt;0,F101/H101,"")</f>
        <v/>
      </c>
      <c r="Y101" s="5">
        <f>IF(N(H101)&gt;0,IFERROR(IF(VLOOKUP(G101,Materialen!$A$2:$I$39,9,0)="",0,VLOOKUP(G101,Materialen!$A$2:$I$39,9,0)),0),"")</f>
        <v/>
      </c>
      <c r="Z101" s="5">
        <f>ROUND(E101*F101,2)</f>
        <v/>
      </c>
      <c r="AA101" s="5">
        <f>IF(AC101&lt;&gt;"OK","",ROUND(E101*U101,2))</f>
        <v/>
      </c>
      <c r="AB101" s="5">
        <f>IF(AC101&lt;&gt;"OK","",Z101-AA101)</f>
        <v/>
      </c>
      <c r="AC101" s="7">
        <f>IF((IF(G101="",0,IF(IFERROR(IF(VLOOKUP(G101,Materialen!$A$2:$I$39,9,0)="",0,VLOOKUP(G101,Materialen!$A$2:$I$39,9,0)),0)=0,1,0))+IF(I101="",0,IF(IFERROR(IF(VLOOKUP(I101,Materialen!$A$2:$I$39,9,0)="",0,VLOOKUP(I101,Materialen!$A$2:$I$39,9,0)),0)=0,1,0))+IF(K101="",0,IF(IFERROR(IF(VLOOKUP(K101,Materialen!$A$2:$I$39,9,0)="",0,VLOOKUP(K101,Materialen!$A$2:$I$39,9,0)),0)=0,1,0))+IF(M101="",0,IF(IFERROR(IF(VLOOKUP(M101,Materialen!$A$2:$I$39,9,0)="",0,VLOOKUP(M101,Materialen!$A$2:$I$39,9,0)),0)=0,1,0)))&gt;0,"aankoopprijs ontbreekt",IF(AND(G101="",K101="",N(T101)=0,N(R101)=0),"kost invullen (arbeid/overig)","OK"))</f>
        <v/>
      </c>
      <c r="AD101" s="7" t="inlineStr">
        <is>
          <t>Wieden/plotten = vooral arbeid</t>
        </is>
      </c>
    </row>
    <row r="102">
      <c r="A102" s="7" t="n">
        <v>101</v>
      </c>
      <c r="B102" s="7" t="inlineStr">
        <is>
          <t>2cm</t>
        </is>
      </c>
      <c r="C102" s="7" t="inlineStr">
        <is>
          <t>&gt; 25 m²</t>
        </is>
      </c>
      <c r="D102" s="7" t="inlineStr">
        <is>
          <t>m²</t>
        </is>
      </c>
      <c r="E102" s="7" t="n">
        <v>5</v>
      </c>
      <c r="F102" s="5" t="n">
        <v>52</v>
      </c>
      <c r="G102" s="7" t="inlineStr">
        <is>
          <t>M41</t>
        </is>
      </c>
      <c r="H102" s="20" t="n">
        <v>1</v>
      </c>
      <c r="I102" s="7" t="inlineStr">
        <is>
          <t>M42</t>
        </is>
      </c>
      <c r="J102" s="20" t="n">
        <v>1</v>
      </c>
      <c r="K102" s="7" t="n"/>
      <c r="L102" s="7" t="n"/>
      <c r="M102" s="7" t="n"/>
      <c r="N102" s="7" t="n"/>
      <c r="O102" s="6">
        <f>IF(G102="","",IF(IFERROR(VLOOKUP(G102,Materialen!$A$2:$I$39,4,0),"")="plaat",Instellingen!$B$4,Instellingen!$B$3))</f>
        <v/>
      </c>
      <c r="P102" s="5">
        <f>ROUND(N(H102)*IFERROR(IF(VLOOKUP(G102,Materialen!$A$2:$I$39,9,0)="",0,VLOOKUP(G102,Materialen!$A$2:$I$39,9,0)),0)*(1+N(O102))+N(J102)*IFERROR(IF(VLOOKUP(I102,Materialen!$A$2:$I$39,9,0)="",0,VLOOKUP(I102,Materialen!$A$2:$I$39,9,0)),0)*(1+N(O102))+N(L102)*IFERROR(IF(VLOOKUP(K102,Materialen!$A$2:$I$39,9,0)="",0,VLOOKUP(K102,Materialen!$A$2:$I$39,9,0)),0)+N(N102)*IFERROR(IF(VLOOKUP(M102,Materialen!$A$2:$I$39,9,0)="",0,VLOOKUP(M102,Materialen!$A$2:$I$39,9,0)),0),2)</f>
        <v/>
      </c>
      <c r="Q102" s="5">
        <f>IF(G102="",0,IF(IFERROR(VLOOKUP(G102,Materialen!$A$2:$I$39,5,0),"N")="J",ROUND(N(H102)*(1+N(O102))*Instellingen!$B$8,2),0))</f>
        <v/>
      </c>
      <c r="R102" s="18" t="n"/>
      <c r="S102" s="5">
        <f>ROUND(N(R102)/60*Instellingen!$B$9,2)</f>
        <v/>
      </c>
      <c r="T102" s="14" t="n"/>
      <c r="U102" s="5">
        <f>P102+Q102+S102+N(T102)</f>
        <v/>
      </c>
      <c r="V102" s="5">
        <f>IF(AC102&lt;&gt;"OK","",F102-U102)</f>
        <v/>
      </c>
      <c r="W102" s="6">
        <f>IF(OR(F102=0,AC102&lt;&gt;"OK"),"",V102/F102)</f>
        <v/>
      </c>
      <c r="X102" s="5">
        <f>IF(N(H102)&gt;0,F102/H102,"")</f>
        <v/>
      </c>
      <c r="Y102" s="5">
        <f>IF(N(H102)&gt;0,IFERROR(IF(VLOOKUP(G102,Materialen!$A$2:$I$39,9,0)="",0,VLOOKUP(G102,Materialen!$A$2:$I$39,9,0)),0),"")</f>
        <v/>
      </c>
      <c r="Z102" s="5">
        <f>ROUND(E102*F102,2)</f>
        <v/>
      </c>
      <c r="AA102" s="5">
        <f>IF(AC102&lt;&gt;"OK","",ROUND(E102*U102,2))</f>
        <v/>
      </c>
      <c r="AB102" s="5">
        <f>IF(AC102&lt;&gt;"OK","",Z102-AA102)</f>
        <v/>
      </c>
      <c r="AC102" s="7">
        <f>IF((IF(G102="",0,IF(IFERROR(IF(VLOOKUP(G102,Materialen!$A$2:$I$39,9,0)="",0,VLOOKUP(G102,Materialen!$A$2:$I$39,9,0)),0)=0,1,0))+IF(I102="",0,IF(IFERROR(IF(VLOOKUP(I102,Materialen!$A$2:$I$39,9,0)="",0,VLOOKUP(I102,Materialen!$A$2:$I$39,9,0)),0)=0,1,0))+IF(K102="",0,IF(IFERROR(IF(VLOOKUP(K102,Materialen!$A$2:$I$39,9,0)="",0,VLOOKUP(K102,Materialen!$A$2:$I$39,9,0)),0)=0,1,0))+IF(M102="",0,IF(IFERROR(IF(VLOOKUP(M102,Materialen!$A$2:$I$39,9,0)="",0,VLOOKUP(M102,Materialen!$A$2:$I$39,9,0)),0)=0,1,0)))&gt;0,"aankoopprijs ontbreekt",IF(AND(G102="",K102="",N(T102)=0,N(R102)=0),"kost invullen (arbeid/overig)","OK"))</f>
        <v/>
      </c>
      <c r="AD102" s="7" t="inlineStr">
        <is>
          <t>Wieden/plotten = vooral arbeid</t>
        </is>
      </c>
    </row>
    <row r="103">
      <c r="A103" s="7" t="n">
        <v>102</v>
      </c>
      <c r="B103" s="7" t="inlineStr">
        <is>
          <t>5cm</t>
        </is>
      </c>
      <c r="C103" s="7" t="inlineStr">
        <is>
          <t>&gt;= A2 et &lt;= 1 m²</t>
        </is>
      </c>
      <c r="D103" s="7" t="inlineStr">
        <is>
          <t>m²</t>
        </is>
      </c>
      <c r="E103" s="7" t="n">
        <v>5</v>
      </c>
      <c r="F103" s="5" t="n">
        <v>65</v>
      </c>
      <c r="G103" s="7" t="inlineStr">
        <is>
          <t>M41</t>
        </is>
      </c>
      <c r="H103" s="20" t="n">
        <v>1</v>
      </c>
      <c r="I103" s="7" t="inlineStr">
        <is>
          <t>M42</t>
        </is>
      </c>
      <c r="J103" s="20" t="n">
        <v>1</v>
      </c>
      <c r="K103" s="7" t="n"/>
      <c r="L103" s="7" t="n"/>
      <c r="M103" s="7" t="n"/>
      <c r="N103" s="7" t="n"/>
      <c r="O103" s="6">
        <f>IF(G103="","",IF(IFERROR(VLOOKUP(G103,Materialen!$A$2:$I$39,4,0),"")="plaat",Instellingen!$B$4,Instellingen!$B$3))</f>
        <v/>
      </c>
      <c r="P103" s="5">
        <f>ROUND(N(H103)*IFERROR(IF(VLOOKUP(G103,Materialen!$A$2:$I$39,9,0)="",0,VLOOKUP(G103,Materialen!$A$2:$I$39,9,0)),0)*(1+N(O103))+N(J103)*IFERROR(IF(VLOOKUP(I103,Materialen!$A$2:$I$39,9,0)="",0,VLOOKUP(I103,Materialen!$A$2:$I$39,9,0)),0)*(1+N(O103))+N(L103)*IFERROR(IF(VLOOKUP(K103,Materialen!$A$2:$I$39,9,0)="",0,VLOOKUP(K103,Materialen!$A$2:$I$39,9,0)),0)+N(N103)*IFERROR(IF(VLOOKUP(M103,Materialen!$A$2:$I$39,9,0)="",0,VLOOKUP(M103,Materialen!$A$2:$I$39,9,0)),0),2)</f>
        <v/>
      </c>
      <c r="Q103" s="5">
        <f>IF(G103="",0,IF(IFERROR(VLOOKUP(G103,Materialen!$A$2:$I$39,5,0),"N")="J",ROUND(N(H103)*(1+N(O103))*Instellingen!$B$8,2),0))</f>
        <v/>
      </c>
      <c r="R103" s="18" t="n"/>
      <c r="S103" s="5">
        <f>ROUND(N(R103)/60*Instellingen!$B$9,2)</f>
        <v/>
      </c>
      <c r="T103" s="14" t="n"/>
      <c r="U103" s="5">
        <f>P103+Q103+S103+N(T103)</f>
        <v/>
      </c>
      <c r="V103" s="5">
        <f>IF(AC103&lt;&gt;"OK","",F103-U103)</f>
        <v/>
      </c>
      <c r="W103" s="6">
        <f>IF(OR(F103=0,AC103&lt;&gt;"OK"),"",V103/F103)</f>
        <v/>
      </c>
      <c r="X103" s="5">
        <f>IF(N(H103)&gt;0,F103/H103,"")</f>
        <v/>
      </c>
      <c r="Y103" s="5">
        <f>IF(N(H103)&gt;0,IFERROR(IF(VLOOKUP(G103,Materialen!$A$2:$I$39,9,0)="",0,VLOOKUP(G103,Materialen!$A$2:$I$39,9,0)),0),"")</f>
        <v/>
      </c>
      <c r="Z103" s="5">
        <f>ROUND(E103*F103,2)</f>
        <v/>
      </c>
      <c r="AA103" s="5">
        <f>IF(AC103&lt;&gt;"OK","",ROUND(E103*U103,2))</f>
        <v/>
      </c>
      <c r="AB103" s="5">
        <f>IF(AC103&lt;&gt;"OK","",Z103-AA103)</f>
        <v/>
      </c>
      <c r="AC103" s="7">
        <f>IF((IF(G103="",0,IF(IFERROR(IF(VLOOKUP(G103,Materialen!$A$2:$I$39,9,0)="",0,VLOOKUP(G103,Materialen!$A$2:$I$39,9,0)),0)=0,1,0))+IF(I103="",0,IF(IFERROR(IF(VLOOKUP(I103,Materialen!$A$2:$I$39,9,0)="",0,VLOOKUP(I103,Materialen!$A$2:$I$39,9,0)),0)=0,1,0))+IF(K103="",0,IF(IFERROR(IF(VLOOKUP(K103,Materialen!$A$2:$I$39,9,0)="",0,VLOOKUP(K103,Materialen!$A$2:$I$39,9,0)),0)=0,1,0))+IF(M103="",0,IF(IFERROR(IF(VLOOKUP(M103,Materialen!$A$2:$I$39,9,0)="",0,VLOOKUP(M103,Materialen!$A$2:$I$39,9,0)),0)=0,1,0)))&gt;0,"aankoopprijs ontbreekt",IF(AND(G103="",K103="",N(T103)=0,N(R103)=0),"kost invullen (arbeid/overig)","OK"))</f>
        <v/>
      </c>
      <c r="AD103" s="7" t="inlineStr">
        <is>
          <t>Wieden/plotten = vooral arbeid</t>
        </is>
      </c>
    </row>
    <row r="104">
      <c r="A104" s="7" t="n">
        <v>103</v>
      </c>
      <c r="B104" s="7" t="inlineStr">
        <is>
          <t>5cm</t>
        </is>
      </c>
      <c r="C104" s="7" t="inlineStr">
        <is>
          <t>&gt; 1 m² et &lt;= 2 m²</t>
        </is>
      </c>
      <c r="D104" s="7" t="inlineStr">
        <is>
          <t>m²</t>
        </is>
      </c>
      <c r="E104" s="7" t="n">
        <v>5</v>
      </c>
      <c r="F104" s="5" t="n">
        <v>58</v>
      </c>
      <c r="G104" s="7" t="inlineStr">
        <is>
          <t>M41</t>
        </is>
      </c>
      <c r="H104" s="20" t="n">
        <v>1</v>
      </c>
      <c r="I104" s="7" t="inlineStr">
        <is>
          <t>M42</t>
        </is>
      </c>
      <c r="J104" s="20" t="n">
        <v>1</v>
      </c>
      <c r="K104" s="7" t="n"/>
      <c r="L104" s="7" t="n"/>
      <c r="M104" s="7" t="n"/>
      <c r="N104" s="7" t="n"/>
      <c r="O104" s="6">
        <f>IF(G104="","",IF(IFERROR(VLOOKUP(G104,Materialen!$A$2:$I$39,4,0),"")="plaat",Instellingen!$B$4,Instellingen!$B$3))</f>
        <v/>
      </c>
      <c r="P104" s="5">
        <f>ROUND(N(H104)*IFERROR(IF(VLOOKUP(G104,Materialen!$A$2:$I$39,9,0)="",0,VLOOKUP(G104,Materialen!$A$2:$I$39,9,0)),0)*(1+N(O104))+N(J104)*IFERROR(IF(VLOOKUP(I104,Materialen!$A$2:$I$39,9,0)="",0,VLOOKUP(I104,Materialen!$A$2:$I$39,9,0)),0)*(1+N(O104))+N(L104)*IFERROR(IF(VLOOKUP(K104,Materialen!$A$2:$I$39,9,0)="",0,VLOOKUP(K104,Materialen!$A$2:$I$39,9,0)),0)+N(N104)*IFERROR(IF(VLOOKUP(M104,Materialen!$A$2:$I$39,9,0)="",0,VLOOKUP(M104,Materialen!$A$2:$I$39,9,0)),0),2)</f>
        <v/>
      </c>
      <c r="Q104" s="5">
        <f>IF(G104="",0,IF(IFERROR(VLOOKUP(G104,Materialen!$A$2:$I$39,5,0),"N")="J",ROUND(N(H104)*(1+N(O104))*Instellingen!$B$8,2),0))</f>
        <v/>
      </c>
      <c r="R104" s="18" t="n"/>
      <c r="S104" s="5">
        <f>ROUND(N(R104)/60*Instellingen!$B$9,2)</f>
        <v/>
      </c>
      <c r="T104" s="14" t="n"/>
      <c r="U104" s="5">
        <f>P104+Q104+S104+N(T104)</f>
        <v/>
      </c>
      <c r="V104" s="5">
        <f>IF(AC104&lt;&gt;"OK","",F104-U104)</f>
        <v/>
      </c>
      <c r="W104" s="6">
        <f>IF(OR(F104=0,AC104&lt;&gt;"OK"),"",V104/F104)</f>
        <v/>
      </c>
      <c r="X104" s="5">
        <f>IF(N(H104)&gt;0,F104/H104,"")</f>
        <v/>
      </c>
      <c r="Y104" s="5">
        <f>IF(N(H104)&gt;0,IFERROR(IF(VLOOKUP(G104,Materialen!$A$2:$I$39,9,0)="",0,VLOOKUP(G104,Materialen!$A$2:$I$39,9,0)),0),"")</f>
        <v/>
      </c>
      <c r="Z104" s="5">
        <f>ROUND(E104*F104,2)</f>
        <v/>
      </c>
      <c r="AA104" s="5">
        <f>IF(AC104&lt;&gt;"OK","",ROUND(E104*U104,2))</f>
        <v/>
      </c>
      <c r="AB104" s="5">
        <f>IF(AC104&lt;&gt;"OK","",Z104-AA104)</f>
        <v/>
      </c>
      <c r="AC104" s="7">
        <f>IF((IF(G104="",0,IF(IFERROR(IF(VLOOKUP(G104,Materialen!$A$2:$I$39,9,0)="",0,VLOOKUP(G104,Materialen!$A$2:$I$39,9,0)),0)=0,1,0))+IF(I104="",0,IF(IFERROR(IF(VLOOKUP(I104,Materialen!$A$2:$I$39,9,0)="",0,VLOOKUP(I104,Materialen!$A$2:$I$39,9,0)),0)=0,1,0))+IF(K104="",0,IF(IFERROR(IF(VLOOKUP(K104,Materialen!$A$2:$I$39,9,0)="",0,VLOOKUP(K104,Materialen!$A$2:$I$39,9,0)),0)=0,1,0))+IF(M104="",0,IF(IFERROR(IF(VLOOKUP(M104,Materialen!$A$2:$I$39,9,0)="",0,VLOOKUP(M104,Materialen!$A$2:$I$39,9,0)),0)=0,1,0)))&gt;0,"aankoopprijs ontbreekt",IF(AND(G104="",K104="",N(T104)=0,N(R104)=0),"kost invullen (arbeid/overig)","OK"))</f>
        <v/>
      </c>
      <c r="AD104" s="7" t="inlineStr">
        <is>
          <t>Wieden/plotten = vooral arbeid</t>
        </is>
      </c>
    </row>
    <row r="105">
      <c r="A105" s="7" t="n">
        <v>104</v>
      </c>
      <c r="B105" s="7" t="inlineStr">
        <is>
          <t>5cm</t>
        </is>
      </c>
      <c r="C105" s="7" t="inlineStr">
        <is>
          <t>&gt; 2 m² et &lt;= 5 m²</t>
        </is>
      </c>
      <c r="D105" s="7" t="inlineStr">
        <is>
          <t>m²</t>
        </is>
      </c>
      <c r="E105" s="7" t="n">
        <v>5</v>
      </c>
      <c r="F105" s="5" t="n">
        <v>52</v>
      </c>
      <c r="G105" s="7" t="inlineStr">
        <is>
          <t>M41</t>
        </is>
      </c>
      <c r="H105" s="20" t="n">
        <v>1</v>
      </c>
      <c r="I105" s="7" t="inlineStr">
        <is>
          <t>M42</t>
        </is>
      </c>
      <c r="J105" s="20" t="n">
        <v>1</v>
      </c>
      <c r="K105" s="7" t="n"/>
      <c r="L105" s="7" t="n"/>
      <c r="M105" s="7" t="n"/>
      <c r="N105" s="7" t="n"/>
      <c r="O105" s="6">
        <f>IF(G105="","",IF(IFERROR(VLOOKUP(G105,Materialen!$A$2:$I$39,4,0),"")="plaat",Instellingen!$B$4,Instellingen!$B$3))</f>
        <v/>
      </c>
      <c r="P105" s="5">
        <f>ROUND(N(H105)*IFERROR(IF(VLOOKUP(G105,Materialen!$A$2:$I$39,9,0)="",0,VLOOKUP(G105,Materialen!$A$2:$I$39,9,0)),0)*(1+N(O105))+N(J105)*IFERROR(IF(VLOOKUP(I105,Materialen!$A$2:$I$39,9,0)="",0,VLOOKUP(I105,Materialen!$A$2:$I$39,9,0)),0)*(1+N(O105))+N(L105)*IFERROR(IF(VLOOKUP(K105,Materialen!$A$2:$I$39,9,0)="",0,VLOOKUP(K105,Materialen!$A$2:$I$39,9,0)),0)+N(N105)*IFERROR(IF(VLOOKUP(M105,Materialen!$A$2:$I$39,9,0)="",0,VLOOKUP(M105,Materialen!$A$2:$I$39,9,0)),0),2)</f>
        <v/>
      </c>
      <c r="Q105" s="5">
        <f>IF(G105="",0,IF(IFERROR(VLOOKUP(G105,Materialen!$A$2:$I$39,5,0),"N")="J",ROUND(N(H105)*(1+N(O105))*Instellingen!$B$8,2),0))</f>
        <v/>
      </c>
      <c r="R105" s="18" t="n"/>
      <c r="S105" s="5">
        <f>ROUND(N(R105)/60*Instellingen!$B$9,2)</f>
        <v/>
      </c>
      <c r="T105" s="14" t="n"/>
      <c r="U105" s="5">
        <f>P105+Q105+S105+N(T105)</f>
        <v/>
      </c>
      <c r="V105" s="5">
        <f>IF(AC105&lt;&gt;"OK","",F105-U105)</f>
        <v/>
      </c>
      <c r="W105" s="6">
        <f>IF(OR(F105=0,AC105&lt;&gt;"OK"),"",V105/F105)</f>
        <v/>
      </c>
      <c r="X105" s="5">
        <f>IF(N(H105)&gt;0,F105/H105,"")</f>
        <v/>
      </c>
      <c r="Y105" s="5">
        <f>IF(N(H105)&gt;0,IFERROR(IF(VLOOKUP(G105,Materialen!$A$2:$I$39,9,0)="",0,VLOOKUP(G105,Materialen!$A$2:$I$39,9,0)),0),"")</f>
        <v/>
      </c>
      <c r="Z105" s="5">
        <f>ROUND(E105*F105,2)</f>
        <v/>
      </c>
      <c r="AA105" s="5">
        <f>IF(AC105&lt;&gt;"OK","",ROUND(E105*U105,2))</f>
        <v/>
      </c>
      <c r="AB105" s="5">
        <f>IF(AC105&lt;&gt;"OK","",Z105-AA105)</f>
        <v/>
      </c>
      <c r="AC105" s="7">
        <f>IF((IF(G105="",0,IF(IFERROR(IF(VLOOKUP(G105,Materialen!$A$2:$I$39,9,0)="",0,VLOOKUP(G105,Materialen!$A$2:$I$39,9,0)),0)=0,1,0))+IF(I105="",0,IF(IFERROR(IF(VLOOKUP(I105,Materialen!$A$2:$I$39,9,0)="",0,VLOOKUP(I105,Materialen!$A$2:$I$39,9,0)),0)=0,1,0))+IF(K105="",0,IF(IFERROR(IF(VLOOKUP(K105,Materialen!$A$2:$I$39,9,0)="",0,VLOOKUP(K105,Materialen!$A$2:$I$39,9,0)),0)=0,1,0))+IF(M105="",0,IF(IFERROR(IF(VLOOKUP(M105,Materialen!$A$2:$I$39,9,0)="",0,VLOOKUP(M105,Materialen!$A$2:$I$39,9,0)),0)=0,1,0)))&gt;0,"aankoopprijs ontbreekt",IF(AND(G105="",K105="",N(T105)=0,N(R105)=0),"kost invullen (arbeid/overig)","OK"))</f>
        <v/>
      </c>
      <c r="AD105" s="7" t="inlineStr">
        <is>
          <t>Wieden/plotten = vooral arbeid</t>
        </is>
      </c>
    </row>
    <row r="106">
      <c r="A106" s="7" t="n">
        <v>105</v>
      </c>
      <c r="B106" s="7" t="inlineStr">
        <is>
          <t>5cm</t>
        </is>
      </c>
      <c r="C106" s="7" t="inlineStr">
        <is>
          <t>&gt; 5 m² et &lt;= 10 m²</t>
        </is>
      </c>
      <c r="D106" s="7" t="inlineStr">
        <is>
          <t>m²</t>
        </is>
      </c>
      <c r="E106" s="7" t="n">
        <v>5</v>
      </c>
      <c r="F106" s="5" t="n">
        <v>47</v>
      </c>
      <c r="G106" s="7" t="inlineStr">
        <is>
          <t>M41</t>
        </is>
      </c>
      <c r="H106" s="20" t="n">
        <v>1</v>
      </c>
      <c r="I106" s="7" t="inlineStr">
        <is>
          <t>M42</t>
        </is>
      </c>
      <c r="J106" s="20" t="n">
        <v>1</v>
      </c>
      <c r="K106" s="7" t="n"/>
      <c r="L106" s="7" t="n"/>
      <c r="M106" s="7" t="n"/>
      <c r="N106" s="7" t="n"/>
      <c r="O106" s="6">
        <f>IF(G106="","",IF(IFERROR(VLOOKUP(G106,Materialen!$A$2:$I$39,4,0),"")="plaat",Instellingen!$B$4,Instellingen!$B$3))</f>
        <v/>
      </c>
      <c r="P106" s="5">
        <f>ROUND(N(H106)*IFERROR(IF(VLOOKUP(G106,Materialen!$A$2:$I$39,9,0)="",0,VLOOKUP(G106,Materialen!$A$2:$I$39,9,0)),0)*(1+N(O106))+N(J106)*IFERROR(IF(VLOOKUP(I106,Materialen!$A$2:$I$39,9,0)="",0,VLOOKUP(I106,Materialen!$A$2:$I$39,9,0)),0)*(1+N(O106))+N(L106)*IFERROR(IF(VLOOKUP(K106,Materialen!$A$2:$I$39,9,0)="",0,VLOOKUP(K106,Materialen!$A$2:$I$39,9,0)),0)+N(N106)*IFERROR(IF(VLOOKUP(M106,Materialen!$A$2:$I$39,9,0)="",0,VLOOKUP(M106,Materialen!$A$2:$I$39,9,0)),0),2)</f>
        <v/>
      </c>
      <c r="Q106" s="5">
        <f>IF(G106="",0,IF(IFERROR(VLOOKUP(G106,Materialen!$A$2:$I$39,5,0),"N")="J",ROUND(N(H106)*(1+N(O106))*Instellingen!$B$8,2),0))</f>
        <v/>
      </c>
      <c r="R106" s="18" t="n"/>
      <c r="S106" s="5">
        <f>ROUND(N(R106)/60*Instellingen!$B$9,2)</f>
        <v/>
      </c>
      <c r="T106" s="14" t="n"/>
      <c r="U106" s="5">
        <f>P106+Q106+S106+N(T106)</f>
        <v/>
      </c>
      <c r="V106" s="5">
        <f>IF(AC106&lt;&gt;"OK","",F106-U106)</f>
        <v/>
      </c>
      <c r="W106" s="6">
        <f>IF(OR(F106=0,AC106&lt;&gt;"OK"),"",V106/F106)</f>
        <v/>
      </c>
      <c r="X106" s="5">
        <f>IF(N(H106)&gt;0,F106/H106,"")</f>
        <v/>
      </c>
      <c r="Y106" s="5">
        <f>IF(N(H106)&gt;0,IFERROR(IF(VLOOKUP(G106,Materialen!$A$2:$I$39,9,0)="",0,VLOOKUP(G106,Materialen!$A$2:$I$39,9,0)),0),"")</f>
        <v/>
      </c>
      <c r="Z106" s="5">
        <f>ROUND(E106*F106,2)</f>
        <v/>
      </c>
      <c r="AA106" s="5">
        <f>IF(AC106&lt;&gt;"OK","",ROUND(E106*U106,2))</f>
        <v/>
      </c>
      <c r="AB106" s="5">
        <f>IF(AC106&lt;&gt;"OK","",Z106-AA106)</f>
        <v/>
      </c>
      <c r="AC106" s="7">
        <f>IF((IF(G106="",0,IF(IFERROR(IF(VLOOKUP(G106,Materialen!$A$2:$I$39,9,0)="",0,VLOOKUP(G106,Materialen!$A$2:$I$39,9,0)),0)=0,1,0))+IF(I106="",0,IF(IFERROR(IF(VLOOKUP(I106,Materialen!$A$2:$I$39,9,0)="",0,VLOOKUP(I106,Materialen!$A$2:$I$39,9,0)),0)=0,1,0))+IF(K106="",0,IF(IFERROR(IF(VLOOKUP(K106,Materialen!$A$2:$I$39,9,0)="",0,VLOOKUP(K106,Materialen!$A$2:$I$39,9,0)),0)=0,1,0))+IF(M106="",0,IF(IFERROR(IF(VLOOKUP(M106,Materialen!$A$2:$I$39,9,0)="",0,VLOOKUP(M106,Materialen!$A$2:$I$39,9,0)),0)=0,1,0)))&gt;0,"aankoopprijs ontbreekt",IF(AND(G106="",K106="",N(T106)=0,N(R106)=0),"kost invullen (arbeid/overig)","OK"))</f>
        <v/>
      </c>
      <c r="AD106" s="7" t="inlineStr">
        <is>
          <t>Wieden/plotten = vooral arbeid</t>
        </is>
      </c>
    </row>
    <row r="107">
      <c r="A107" s="7" t="n">
        <v>106</v>
      </c>
      <c r="B107" s="7" t="inlineStr">
        <is>
          <t>5cm</t>
        </is>
      </c>
      <c r="C107" s="7" t="inlineStr">
        <is>
          <t>&gt; 10 m² et &lt;= 25 m²</t>
        </is>
      </c>
      <c r="D107" s="7" t="inlineStr">
        <is>
          <t>m²</t>
        </is>
      </c>
      <c r="E107" s="7" t="n">
        <v>5</v>
      </c>
      <c r="F107" s="5" t="n">
        <v>43</v>
      </c>
      <c r="G107" s="7" t="inlineStr">
        <is>
          <t>M41</t>
        </is>
      </c>
      <c r="H107" s="20" t="n">
        <v>1</v>
      </c>
      <c r="I107" s="7" t="inlineStr">
        <is>
          <t>M42</t>
        </is>
      </c>
      <c r="J107" s="20" t="n">
        <v>1</v>
      </c>
      <c r="K107" s="7" t="n"/>
      <c r="L107" s="7" t="n"/>
      <c r="M107" s="7" t="n"/>
      <c r="N107" s="7" t="n"/>
      <c r="O107" s="6">
        <f>IF(G107="","",IF(IFERROR(VLOOKUP(G107,Materialen!$A$2:$I$39,4,0),"")="plaat",Instellingen!$B$4,Instellingen!$B$3))</f>
        <v/>
      </c>
      <c r="P107" s="5">
        <f>ROUND(N(H107)*IFERROR(IF(VLOOKUP(G107,Materialen!$A$2:$I$39,9,0)="",0,VLOOKUP(G107,Materialen!$A$2:$I$39,9,0)),0)*(1+N(O107))+N(J107)*IFERROR(IF(VLOOKUP(I107,Materialen!$A$2:$I$39,9,0)="",0,VLOOKUP(I107,Materialen!$A$2:$I$39,9,0)),0)*(1+N(O107))+N(L107)*IFERROR(IF(VLOOKUP(K107,Materialen!$A$2:$I$39,9,0)="",0,VLOOKUP(K107,Materialen!$A$2:$I$39,9,0)),0)+N(N107)*IFERROR(IF(VLOOKUP(M107,Materialen!$A$2:$I$39,9,0)="",0,VLOOKUP(M107,Materialen!$A$2:$I$39,9,0)),0),2)</f>
        <v/>
      </c>
      <c r="Q107" s="5">
        <f>IF(G107="",0,IF(IFERROR(VLOOKUP(G107,Materialen!$A$2:$I$39,5,0),"N")="J",ROUND(N(H107)*(1+N(O107))*Instellingen!$B$8,2),0))</f>
        <v/>
      </c>
      <c r="R107" s="18" t="n"/>
      <c r="S107" s="5">
        <f>ROUND(N(R107)/60*Instellingen!$B$9,2)</f>
        <v/>
      </c>
      <c r="T107" s="14" t="n"/>
      <c r="U107" s="5">
        <f>P107+Q107+S107+N(T107)</f>
        <v/>
      </c>
      <c r="V107" s="5">
        <f>IF(AC107&lt;&gt;"OK","",F107-U107)</f>
        <v/>
      </c>
      <c r="W107" s="6">
        <f>IF(OR(F107=0,AC107&lt;&gt;"OK"),"",V107/F107)</f>
        <v/>
      </c>
      <c r="X107" s="5">
        <f>IF(N(H107)&gt;0,F107/H107,"")</f>
        <v/>
      </c>
      <c r="Y107" s="5">
        <f>IF(N(H107)&gt;0,IFERROR(IF(VLOOKUP(G107,Materialen!$A$2:$I$39,9,0)="",0,VLOOKUP(G107,Materialen!$A$2:$I$39,9,0)),0),"")</f>
        <v/>
      </c>
      <c r="Z107" s="5">
        <f>ROUND(E107*F107,2)</f>
        <v/>
      </c>
      <c r="AA107" s="5">
        <f>IF(AC107&lt;&gt;"OK","",ROUND(E107*U107,2))</f>
        <v/>
      </c>
      <c r="AB107" s="5">
        <f>IF(AC107&lt;&gt;"OK","",Z107-AA107)</f>
        <v/>
      </c>
      <c r="AC107" s="7">
        <f>IF((IF(G107="",0,IF(IFERROR(IF(VLOOKUP(G107,Materialen!$A$2:$I$39,9,0)="",0,VLOOKUP(G107,Materialen!$A$2:$I$39,9,0)),0)=0,1,0))+IF(I107="",0,IF(IFERROR(IF(VLOOKUP(I107,Materialen!$A$2:$I$39,9,0)="",0,VLOOKUP(I107,Materialen!$A$2:$I$39,9,0)),0)=0,1,0))+IF(K107="",0,IF(IFERROR(IF(VLOOKUP(K107,Materialen!$A$2:$I$39,9,0)="",0,VLOOKUP(K107,Materialen!$A$2:$I$39,9,0)),0)=0,1,0))+IF(M107="",0,IF(IFERROR(IF(VLOOKUP(M107,Materialen!$A$2:$I$39,9,0)="",0,VLOOKUP(M107,Materialen!$A$2:$I$39,9,0)),0)=0,1,0)))&gt;0,"aankoopprijs ontbreekt",IF(AND(G107="",K107="",N(T107)=0,N(R107)=0),"kost invullen (arbeid/overig)","OK"))</f>
        <v/>
      </c>
      <c r="AD107" s="7" t="inlineStr">
        <is>
          <t>Wieden/plotten = vooral arbeid</t>
        </is>
      </c>
    </row>
    <row r="108">
      <c r="A108" s="7" t="n">
        <v>107</v>
      </c>
      <c r="B108" s="7" t="inlineStr">
        <is>
          <t>5cm</t>
        </is>
      </c>
      <c r="C108" s="7" t="inlineStr">
        <is>
          <t>&gt; 25 m²</t>
        </is>
      </c>
      <c r="D108" s="7" t="inlineStr">
        <is>
          <t>m²</t>
        </is>
      </c>
      <c r="E108" s="7" t="n">
        <v>5</v>
      </c>
      <c r="F108" s="5" t="n">
        <v>40</v>
      </c>
      <c r="G108" s="7" t="inlineStr">
        <is>
          <t>M41</t>
        </is>
      </c>
      <c r="H108" s="20" t="n">
        <v>1</v>
      </c>
      <c r="I108" s="7" t="inlineStr">
        <is>
          <t>M42</t>
        </is>
      </c>
      <c r="J108" s="20" t="n">
        <v>1</v>
      </c>
      <c r="K108" s="7" t="n"/>
      <c r="L108" s="7" t="n"/>
      <c r="M108" s="7" t="n"/>
      <c r="N108" s="7" t="n"/>
      <c r="O108" s="6">
        <f>IF(G108="","",IF(IFERROR(VLOOKUP(G108,Materialen!$A$2:$I$39,4,0),"")="plaat",Instellingen!$B$4,Instellingen!$B$3))</f>
        <v/>
      </c>
      <c r="P108" s="5">
        <f>ROUND(N(H108)*IFERROR(IF(VLOOKUP(G108,Materialen!$A$2:$I$39,9,0)="",0,VLOOKUP(G108,Materialen!$A$2:$I$39,9,0)),0)*(1+N(O108))+N(J108)*IFERROR(IF(VLOOKUP(I108,Materialen!$A$2:$I$39,9,0)="",0,VLOOKUP(I108,Materialen!$A$2:$I$39,9,0)),0)*(1+N(O108))+N(L108)*IFERROR(IF(VLOOKUP(K108,Materialen!$A$2:$I$39,9,0)="",0,VLOOKUP(K108,Materialen!$A$2:$I$39,9,0)),0)+N(N108)*IFERROR(IF(VLOOKUP(M108,Materialen!$A$2:$I$39,9,0)="",0,VLOOKUP(M108,Materialen!$A$2:$I$39,9,0)),0),2)</f>
        <v/>
      </c>
      <c r="Q108" s="5">
        <f>IF(G108="",0,IF(IFERROR(VLOOKUP(G108,Materialen!$A$2:$I$39,5,0),"N")="J",ROUND(N(H108)*(1+N(O108))*Instellingen!$B$8,2),0))</f>
        <v/>
      </c>
      <c r="R108" s="18" t="n"/>
      <c r="S108" s="5">
        <f>ROUND(N(R108)/60*Instellingen!$B$9,2)</f>
        <v/>
      </c>
      <c r="T108" s="14" t="n"/>
      <c r="U108" s="5">
        <f>P108+Q108+S108+N(T108)</f>
        <v/>
      </c>
      <c r="V108" s="5">
        <f>IF(AC108&lt;&gt;"OK","",F108-U108)</f>
        <v/>
      </c>
      <c r="W108" s="6">
        <f>IF(OR(F108=0,AC108&lt;&gt;"OK"),"",V108/F108)</f>
        <v/>
      </c>
      <c r="X108" s="5">
        <f>IF(N(H108)&gt;0,F108/H108,"")</f>
        <v/>
      </c>
      <c r="Y108" s="5">
        <f>IF(N(H108)&gt;0,IFERROR(IF(VLOOKUP(G108,Materialen!$A$2:$I$39,9,0)="",0,VLOOKUP(G108,Materialen!$A$2:$I$39,9,0)),0),"")</f>
        <v/>
      </c>
      <c r="Z108" s="5">
        <f>ROUND(E108*F108,2)</f>
        <v/>
      </c>
      <c r="AA108" s="5">
        <f>IF(AC108&lt;&gt;"OK","",ROUND(E108*U108,2))</f>
        <v/>
      </c>
      <c r="AB108" s="5">
        <f>IF(AC108&lt;&gt;"OK","",Z108-AA108)</f>
        <v/>
      </c>
      <c r="AC108" s="7">
        <f>IF((IF(G108="",0,IF(IFERROR(IF(VLOOKUP(G108,Materialen!$A$2:$I$39,9,0)="",0,VLOOKUP(G108,Materialen!$A$2:$I$39,9,0)),0)=0,1,0))+IF(I108="",0,IF(IFERROR(IF(VLOOKUP(I108,Materialen!$A$2:$I$39,9,0)="",0,VLOOKUP(I108,Materialen!$A$2:$I$39,9,0)),0)=0,1,0))+IF(K108="",0,IF(IFERROR(IF(VLOOKUP(K108,Materialen!$A$2:$I$39,9,0)="",0,VLOOKUP(K108,Materialen!$A$2:$I$39,9,0)),0)=0,1,0))+IF(M108="",0,IF(IFERROR(IF(VLOOKUP(M108,Materialen!$A$2:$I$39,9,0)="",0,VLOOKUP(M108,Materialen!$A$2:$I$39,9,0)),0)=0,1,0)))&gt;0,"aankoopprijs ontbreekt",IF(AND(G108="",K108="",N(T108)=0,N(R108)=0),"kost invullen (arbeid/overig)","OK"))</f>
        <v/>
      </c>
      <c r="AD108" s="7" t="inlineStr">
        <is>
          <t>Wieden/plotten = vooral arbeid</t>
        </is>
      </c>
    </row>
    <row r="109">
      <c r="A109" s="7" t="n">
        <v>108</v>
      </c>
      <c r="B109" s="7" t="inlineStr">
        <is>
          <t>10 cm</t>
        </is>
      </c>
      <c r="C109" s="7" t="inlineStr">
        <is>
          <t>&gt;= A2 et &lt;= 1 m²</t>
        </is>
      </c>
      <c r="D109" s="7" t="inlineStr">
        <is>
          <t>m²</t>
        </is>
      </c>
      <c r="E109" s="7" t="n">
        <v>5</v>
      </c>
      <c r="F109" s="5" t="n">
        <v>52</v>
      </c>
      <c r="G109" s="7" t="inlineStr">
        <is>
          <t>M41</t>
        </is>
      </c>
      <c r="H109" s="20" t="n">
        <v>1</v>
      </c>
      <c r="I109" s="7" t="inlineStr">
        <is>
          <t>M42</t>
        </is>
      </c>
      <c r="J109" s="20" t="n">
        <v>1</v>
      </c>
      <c r="K109" s="7" t="n"/>
      <c r="L109" s="7" t="n"/>
      <c r="M109" s="7" t="n"/>
      <c r="N109" s="7" t="n"/>
      <c r="O109" s="6">
        <f>IF(G109="","",IF(IFERROR(VLOOKUP(G109,Materialen!$A$2:$I$39,4,0),"")="plaat",Instellingen!$B$4,Instellingen!$B$3))</f>
        <v/>
      </c>
      <c r="P109" s="5">
        <f>ROUND(N(H109)*IFERROR(IF(VLOOKUP(G109,Materialen!$A$2:$I$39,9,0)="",0,VLOOKUP(G109,Materialen!$A$2:$I$39,9,0)),0)*(1+N(O109))+N(J109)*IFERROR(IF(VLOOKUP(I109,Materialen!$A$2:$I$39,9,0)="",0,VLOOKUP(I109,Materialen!$A$2:$I$39,9,0)),0)*(1+N(O109))+N(L109)*IFERROR(IF(VLOOKUP(K109,Materialen!$A$2:$I$39,9,0)="",0,VLOOKUP(K109,Materialen!$A$2:$I$39,9,0)),0)+N(N109)*IFERROR(IF(VLOOKUP(M109,Materialen!$A$2:$I$39,9,0)="",0,VLOOKUP(M109,Materialen!$A$2:$I$39,9,0)),0),2)</f>
        <v/>
      </c>
      <c r="Q109" s="5">
        <f>IF(G109="",0,IF(IFERROR(VLOOKUP(G109,Materialen!$A$2:$I$39,5,0),"N")="J",ROUND(N(H109)*(1+N(O109))*Instellingen!$B$8,2),0))</f>
        <v/>
      </c>
      <c r="R109" s="18" t="n"/>
      <c r="S109" s="5">
        <f>ROUND(N(R109)/60*Instellingen!$B$9,2)</f>
        <v/>
      </c>
      <c r="T109" s="14" t="n"/>
      <c r="U109" s="5">
        <f>P109+Q109+S109+N(T109)</f>
        <v/>
      </c>
      <c r="V109" s="5">
        <f>IF(AC109&lt;&gt;"OK","",F109-U109)</f>
        <v/>
      </c>
      <c r="W109" s="6">
        <f>IF(OR(F109=0,AC109&lt;&gt;"OK"),"",V109/F109)</f>
        <v/>
      </c>
      <c r="X109" s="5">
        <f>IF(N(H109)&gt;0,F109/H109,"")</f>
        <v/>
      </c>
      <c r="Y109" s="5">
        <f>IF(N(H109)&gt;0,IFERROR(IF(VLOOKUP(G109,Materialen!$A$2:$I$39,9,0)="",0,VLOOKUP(G109,Materialen!$A$2:$I$39,9,0)),0),"")</f>
        <v/>
      </c>
      <c r="Z109" s="5">
        <f>ROUND(E109*F109,2)</f>
        <v/>
      </c>
      <c r="AA109" s="5">
        <f>IF(AC109&lt;&gt;"OK","",ROUND(E109*U109,2))</f>
        <v/>
      </c>
      <c r="AB109" s="5">
        <f>IF(AC109&lt;&gt;"OK","",Z109-AA109)</f>
        <v/>
      </c>
      <c r="AC109" s="7">
        <f>IF((IF(G109="",0,IF(IFERROR(IF(VLOOKUP(G109,Materialen!$A$2:$I$39,9,0)="",0,VLOOKUP(G109,Materialen!$A$2:$I$39,9,0)),0)=0,1,0))+IF(I109="",0,IF(IFERROR(IF(VLOOKUP(I109,Materialen!$A$2:$I$39,9,0)="",0,VLOOKUP(I109,Materialen!$A$2:$I$39,9,0)),0)=0,1,0))+IF(K109="",0,IF(IFERROR(IF(VLOOKUP(K109,Materialen!$A$2:$I$39,9,0)="",0,VLOOKUP(K109,Materialen!$A$2:$I$39,9,0)),0)=0,1,0))+IF(M109="",0,IF(IFERROR(IF(VLOOKUP(M109,Materialen!$A$2:$I$39,9,0)="",0,VLOOKUP(M109,Materialen!$A$2:$I$39,9,0)),0)=0,1,0)))&gt;0,"aankoopprijs ontbreekt",IF(AND(G109="",K109="",N(T109)=0,N(R109)=0),"kost invullen (arbeid/overig)","OK"))</f>
        <v/>
      </c>
      <c r="AD109" s="7" t="inlineStr">
        <is>
          <t>Wieden/plotten = vooral arbeid</t>
        </is>
      </c>
    </row>
    <row r="110">
      <c r="A110" s="7" t="n">
        <v>109</v>
      </c>
      <c r="B110" s="7" t="inlineStr">
        <is>
          <t>10 cm</t>
        </is>
      </c>
      <c r="C110" s="7" t="inlineStr">
        <is>
          <t>&gt; 1 m² et &lt;= 2 m²</t>
        </is>
      </c>
      <c r="D110" s="7" t="inlineStr">
        <is>
          <t>m²</t>
        </is>
      </c>
      <c r="E110" s="7" t="n">
        <v>5</v>
      </c>
      <c r="F110" s="5" t="n">
        <v>46</v>
      </c>
      <c r="G110" s="7" t="inlineStr">
        <is>
          <t>M41</t>
        </is>
      </c>
      <c r="H110" s="20" t="n">
        <v>1</v>
      </c>
      <c r="I110" s="7" t="inlineStr">
        <is>
          <t>M42</t>
        </is>
      </c>
      <c r="J110" s="20" t="n">
        <v>1</v>
      </c>
      <c r="K110" s="7" t="n"/>
      <c r="L110" s="7" t="n"/>
      <c r="M110" s="7" t="n"/>
      <c r="N110" s="7" t="n"/>
      <c r="O110" s="6">
        <f>IF(G110="","",IF(IFERROR(VLOOKUP(G110,Materialen!$A$2:$I$39,4,0),"")="plaat",Instellingen!$B$4,Instellingen!$B$3))</f>
        <v/>
      </c>
      <c r="P110" s="5">
        <f>ROUND(N(H110)*IFERROR(IF(VLOOKUP(G110,Materialen!$A$2:$I$39,9,0)="",0,VLOOKUP(G110,Materialen!$A$2:$I$39,9,0)),0)*(1+N(O110))+N(J110)*IFERROR(IF(VLOOKUP(I110,Materialen!$A$2:$I$39,9,0)="",0,VLOOKUP(I110,Materialen!$A$2:$I$39,9,0)),0)*(1+N(O110))+N(L110)*IFERROR(IF(VLOOKUP(K110,Materialen!$A$2:$I$39,9,0)="",0,VLOOKUP(K110,Materialen!$A$2:$I$39,9,0)),0)+N(N110)*IFERROR(IF(VLOOKUP(M110,Materialen!$A$2:$I$39,9,0)="",0,VLOOKUP(M110,Materialen!$A$2:$I$39,9,0)),0),2)</f>
        <v/>
      </c>
      <c r="Q110" s="5">
        <f>IF(G110="",0,IF(IFERROR(VLOOKUP(G110,Materialen!$A$2:$I$39,5,0),"N")="J",ROUND(N(H110)*(1+N(O110))*Instellingen!$B$8,2),0))</f>
        <v/>
      </c>
      <c r="R110" s="18" t="n"/>
      <c r="S110" s="5">
        <f>ROUND(N(R110)/60*Instellingen!$B$9,2)</f>
        <v/>
      </c>
      <c r="T110" s="14" t="n"/>
      <c r="U110" s="5">
        <f>P110+Q110+S110+N(T110)</f>
        <v/>
      </c>
      <c r="V110" s="5">
        <f>IF(AC110&lt;&gt;"OK","",F110-U110)</f>
        <v/>
      </c>
      <c r="W110" s="6">
        <f>IF(OR(F110=0,AC110&lt;&gt;"OK"),"",V110/F110)</f>
        <v/>
      </c>
      <c r="X110" s="5">
        <f>IF(N(H110)&gt;0,F110/H110,"")</f>
        <v/>
      </c>
      <c r="Y110" s="5">
        <f>IF(N(H110)&gt;0,IFERROR(IF(VLOOKUP(G110,Materialen!$A$2:$I$39,9,0)="",0,VLOOKUP(G110,Materialen!$A$2:$I$39,9,0)),0),"")</f>
        <v/>
      </c>
      <c r="Z110" s="5">
        <f>ROUND(E110*F110,2)</f>
        <v/>
      </c>
      <c r="AA110" s="5">
        <f>IF(AC110&lt;&gt;"OK","",ROUND(E110*U110,2))</f>
        <v/>
      </c>
      <c r="AB110" s="5">
        <f>IF(AC110&lt;&gt;"OK","",Z110-AA110)</f>
        <v/>
      </c>
      <c r="AC110" s="7">
        <f>IF((IF(G110="",0,IF(IFERROR(IF(VLOOKUP(G110,Materialen!$A$2:$I$39,9,0)="",0,VLOOKUP(G110,Materialen!$A$2:$I$39,9,0)),0)=0,1,0))+IF(I110="",0,IF(IFERROR(IF(VLOOKUP(I110,Materialen!$A$2:$I$39,9,0)="",0,VLOOKUP(I110,Materialen!$A$2:$I$39,9,0)),0)=0,1,0))+IF(K110="",0,IF(IFERROR(IF(VLOOKUP(K110,Materialen!$A$2:$I$39,9,0)="",0,VLOOKUP(K110,Materialen!$A$2:$I$39,9,0)),0)=0,1,0))+IF(M110="",0,IF(IFERROR(IF(VLOOKUP(M110,Materialen!$A$2:$I$39,9,0)="",0,VLOOKUP(M110,Materialen!$A$2:$I$39,9,0)),0)=0,1,0)))&gt;0,"aankoopprijs ontbreekt",IF(AND(G110="",K110="",N(T110)=0,N(R110)=0),"kost invullen (arbeid/overig)","OK"))</f>
        <v/>
      </c>
      <c r="AD110" s="7" t="inlineStr">
        <is>
          <t>Wieden/plotten = vooral arbeid</t>
        </is>
      </c>
    </row>
    <row r="111">
      <c r="A111" s="7" t="n">
        <v>110</v>
      </c>
      <c r="B111" s="7" t="inlineStr">
        <is>
          <t>10 cm</t>
        </is>
      </c>
      <c r="C111" s="7" t="inlineStr">
        <is>
          <t>&gt; 2 m² et &lt;= 5 m²</t>
        </is>
      </c>
      <c r="D111" s="7" t="inlineStr">
        <is>
          <t>m²</t>
        </is>
      </c>
      <c r="E111" s="7" t="n">
        <v>5</v>
      </c>
      <c r="F111" s="5" t="n">
        <v>42</v>
      </c>
      <c r="G111" s="7" t="inlineStr">
        <is>
          <t>M41</t>
        </is>
      </c>
      <c r="H111" s="20" t="n">
        <v>1</v>
      </c>
      <c r="I111" s="7" t="inlineStr">
        <is>
          <t>M42</t>
        </is>
      </c>
      <c r="J111" s="20" t="n">
        <v>1</v>
      </c>
      <c r="K111" s="7" t="n"/>
      <c r="L111" s="7" t="n"/>
      <c r="M111" s="7" t="n"/>
      <c r="N111" s="7" t="n"/>
      <c r="O111" s="6">
        <f>IF(G111="","",IF(IFERROR(VLOOKUP(G111,Materialen!$A$2:$I$39,4,0),"")="plaat",Instellingen!$B$4,Instellingen!$B$3))</f>
        <v/>
      </c>
      <c r="P111" s="5">
        <f>ROUND(N(H111)*IFERROR(IF(VLOOKUP(G111,Materialen!$A$2:$I$39,9,0)="",0,VLOOKUP(G111,Materialen!$A$2:$I$39,9,0)),0)*(1+N(O111))+N(J111)*IFERROR(IF(VLOOKUP(I111,Materialen!$A$2:$I$39,9,0)="",0,VLOOKUP(I111,Materialen!$A$2:$I$39,9,0)),0)*(1+N(O111))+N(L111)*IFERROR(IF(VLOOKUP(K111,Materialen!$A$2:$I$39,9,0)="",0,VLOOKUP(K111,Materialen!$A$2:$I$39,9,0)),0)+N(N111)*IFERROR(IF(VLOOKUP(M111,Materialen!$A$2:$I$39,9,0)="",0,VLOOKUP(M111,Materialen!$A$2:$I$39,9,0)),0),2)</f>
        <v/>
      </c>
      <c r="Q111" s="5">
        <f>IF(G111="",0,IF(IFERROR(VLOOKUP(G111,Materialen!$A$2:$I$39,5,0),"N")="J",ROUND(N(H111)*(1+N(O111))*Instellingen!$B$8,2),0))</f>
        <v/>
      </c>
      <c r="R111" s="18" t="n"/>
      <c r="S111" s="5">
        <f>ROUND(N(R111)/60*Instellingen!$B$9,2)</f>
        <v/>
      </c>
      <c r="T111" s="14" t="n"/>
      <c r="U111" s="5">
        <f>P111+Q111+S111+N(T111)</f>
        <v/>
      </c>
      <c r="V111" s="5">
        <f>IF(AC111&lt;&gt;"OK","",F111-U111)</f>
        <v/>
      </c>
      <c r="W111" s="6">
        <f>IF(OR(F111=0,AC111&lt;&gt;"OK"),"",V111/F111)</f>
        <v/>
      </c>
      <c r="X111" s="5">
        <f>IF(N(H111)&gt;0,F111/H111,"")</f>
        <v/>
      </c>
      <c r="Y111" s="5">
        <f>IF(N(H111)&gt;0,IFERROR(IF(VLOOKUP(G111,Materialen!$A$2:$I$39,9,0)="",0,VLOOKUP(G111,Materialen!$A$2:$I$39,9,0)),0),"")</f>
        <v/>
      </c>
      <c r="Z111" s="5">
        <f>ROUND(E111*F111,2)</f>
        <v/>
      </c>
      <c r="AA111" s="5">
        <f>IF(AC111&lt;&gt;"OK","",ROUND(E111*U111,2))</f>
        <v/>
      </c>
      <c r="AB111" s="5">
        <f>IF(AC111&lt;&gt;"OK","",Z111-AA111)</f>
        <v/>
      </c>
      <c r="AC111" s="7">
        <f>IF((IF(G111="",0,IF(IFERROR(IF(VLOOKUP(G111,Materialen!$A$2:$I$39,9,0)="",0,VLOOKUP(G111,Materialen!$A$2:$I$39,9,0)),0)=0,1,0))+IF(I111="",0,IF(IFERROR(IF(VLOOKUP(I111,Materialen!$A$2:$I$39,9,0)="",0,VLOOKUP(I111,Materialen!$A$2:$I$39,9,0)),0)=0,1,0))+IF(K111="",0,IF(IFERROR(IF(VLOOKUP(K111,Materialen!$A$2:$I$39,9,0)="",0,VLOOKUP(K111,Materialen!$A$2:$I$39,9,0)),0)=0,1,0))+IF(M111="",0,IF(IFERROR(IF(VLOOKUP(M111,Materialen!$A$2:$I$39,9,0)="",0,VLOOKUP(M111,Materialen!$A$2:$I$39,9,0)),0)=0,1,0)))&gt;0,"aankoopprijs ontbreekt",IF(AND(G111="",K111="",N(T111)=0,N(R111)=0),"kost invullen (arbeid/overig)","OK"))</f>
        <v/>
      </c>
      <c r="AD111" s="7" t="inlineStr">
        <is>
          <t>Wieden/plotten = vooral arbeid</t>
        </is>
      </c>
    </row>
    <row r="112">
      <c r="A112" s="7" t="n">
        <v>111</v>
      </c>
      <c r="B112" s="7" t="inlineStr">
        <is>
          <t>10 cm</t>
        </is>
      </c>
      <c r="C112" s="7" t="inlineStr">
        <is>
          <t>&gt; 5 m² et &lt;= 10 m²</t>
        </is>
      </c>
      <c r="D112" s="7" t="inlineStr">
        <is>
          <t>m²</t>
        </is>
      </c>
      <c r="E112" s="7" t="n">
        <v>5</v>
      </c>
      <c r="F112" s="5" t="n">
        <v>38</v>
      </c>
      <c r="G112" s="7" t="inlineStr">
        <is>
          <t>M41</t>
        </is>
      </c>
      <c r="H112" s="20" t="n">
        <v>1</v>
      </c>
      <c r="I112" s="7" t="inlineStr">
        <is>
          <t>M42</t>
        </is>
      </c>
      <c r="J112" s="20" t="n">
        <v>1</v>
      </c>
      <c r="K112" s="7" t="n"/>
      <c r="L112" s="7" t="n"/>
      <c r="M112" s="7" t="n"/>
      <c r="N112" s="7" t="n"/>
      <c r="O112" s="6">
        <f>IF(G112="","",IF(IFERROR(VLOOKUP(G112,Materialen!$A$2:$I$39,4,0),"")="plaat",Instellingen!$B$4,Instellingen!$B$3))</f>
        <v/>
      </c>
      <c r="P112" s="5">
        <f>ROUND(N(H112)*IFERROR(IF(VLOOKUP(G112,Materialen!$A$2:$I$39,9,0)="",0,VLOOKUP(G112,Materialen!$A$2:$I$39,9,0)),0)*(1+N(O112))+N(J112)*IFERROR(IF(VLOOKUP(I112,Materialen!$A$2:$I$39,9,0)="",0,VLOOKUP(I112,Materialen!$A$2:$I$39,9,0)),0)*(1+N(O112))+N(L112)*IFERROR(IF(VLOOKUP(K112,Materialen!$A$2:$I$39,9,0)="",0,VLOOKUP(K112,Materialen!$A$2:$I$39,9,0)),0)+N(N112)*IFERROR(IF(VLOOKUP(M112,Materialen!$A$2:$I$39,9,0)="",0,VLOOKUP(M112,Materialen!$A$2:$I$39,9,0)),0),2)</f>
        <v/>
      </c>
      <c r="Q112" s="5">
        <f>IF(G112="",0,IF(IFERROR(VLOOKUP(G112,Materialen!$A$2:$I$39,5,0),"N")="J",ROUND(N(H112)*(1+N(O112))*Instellingen!$B$8,2),0))</f>
        <v/>
      </c>
      <c r="R112" s="18" t="n"/>
      <c r="S112" s="5">
        <f>ROUND(N(R112)/60*Instellingen!$B$9,2)</f>
        <v/>
      </c>
      <c r="T112" s="14" t="n"/>
      <c r="U112" s="5">
        <f>P112+Q112+S112+N(T112)</f>
        <v/>
      </c>
      <c r="V112" s="5">
        <f>IF(AC112&lt;&gt;"OK","",F112-U112)</f>
        <v/>
      </c>
      <c r="W112" s="6">
        <f>IF(OR(F112=0,AC112&lt;&gt;"OK"),"",V112/F112)</f>
        <v/>
      </c>
      <c r="X112" s="5">
        <f>IF(N(H112)&gt;0,F112/H112,"")</f>
        <v/>
      </c>
      <c r="Y112" s="5">
        <f>IF(N(H112)&gt;0,IFERROR(IF(VLOOKUP(G112,Materialen!$A$2:$I$39,9,0)="",0,VLOOKUP(G112,Materialen!$A$2:$I$39,9,0)),0),"")</f>
        <v/>
      </c>
      <c r="Z112" s="5">
        <f>ROUND(E112*F112,2)</f>
        <v/>
      </c>
      <c r="AA112" s="5">
        <f>IF(AC112&lt;&gt;"OK","",ROUND(E112*U112,2))</f>
        <v/>
      </c>
      <c r="AB112" s="5">
        <f>IF(AC112&lt;&gt;"OK","",Z112-AA112)</f>
        <v/>
      </c>
      <c r="AC112" s="7">
        <f>IF((IF(G112="",0,IF(IFERROR(IF(VLOOKUP(G112,Materialen!$A$2:$I$39,9,0)="",0,VLOOKUP(G112,Materialen!$A$2:$I$39,9,0)),0)=0,1,0))+IF(I112="",0,IF(IFERROR(IF(VLOOKUP(I112,Materialen!$A$2:$I$39,9,0)="",0,VLOOKUP(I112,Materialen!$A$2:$I$39,9,0)),0)=0,1,0))+IF(K112="",0,IF(IFERROR(IF(VLOOKUP(K112,Materialen!$A$2:$I$39,9,0)="",0,VLOOKUP(K112,Materialen!$A$2:$I$39,9,0)),0)=0,1,0))+IF(M112="",0,IF(IFERROR(IF(VLOOKUP(M112,Materialen!$A$2:$I$39,9,0)="",0,VLOOKUP(M112,Materialen!$A$2:$I$39,9,0)),0)=0,1,0)))&gt;0,"aankoopprijs ontbreekt",IF(AND(G112="",K112="",N(T112)=0,N(R112)=0),"kost invullen (arbeid/overig)","OK"))</f>
        <v/>
      </c>
      <c r="AD112" s="7" t="inlineStr">
        <is>
          <t>Wieden/plotten = vooral arbeid</t>
        </is>
      </c>
    </row>
    <row r="113">
      <c r="A113" s="7" t="n">
        <v>112</v>
      </c>
      <c r="B113" s="7" t="inlineStr">
        <is>
          <t>10 cm</t>
        </is>
      </c>
      <c r="C113" s="7" t="inlineStr">
        <is>
          <t>&gt; 10 m² et &lt;= 25 m²</t>
        </is>
      </c>
      <c r="D113" s="7" t="inlineStr">
        <is>
          <t>m²</t>
        </is>
      </c>
      <c r="E113" s="7" t="n">
        <v>5</v>
      </c>
      <c r="F113" s="5" t="n">
        <v>35</v>
      </c>
      <c r="G113" s="7" t="inlineStr">
        <is>
          <t>M41</t>
        </is>
      </c>
      <c r="H113" s="20" t="n">
        <v>1</v>
      </c>
      <c r="I113" s="7" t="inlineStr">
        <is>
          <t>M42</t>
        </is>
      </c>
      <c r="J113" s="20" t="n">
        <v>1</v>
      </c>
      <c r="K113" s="7" t="n"/>
      <c r="L113" s="7" t="n"/>
      <c r="M113" s="7" t="n"/>
      <c r="N113" s="7" t="n"/>
      <c r="O113" s="6">
        <f>IF(G113="","",IF(IFERROR(VLOOKUP(G113,Materialen!$A$2:$I$39,4,0),"")="plaat",Instellingen!$B$4,Instellingen!$B$3))</f>
        <v/>
      </c>
      <c r="P113" s="5">
        <f>ROUND(N(H113)*IFERROR(IF(VLOOKUP(G113,Materialen!$A$2:$I$39,9,0)="",0,VLOOKUP(G113,Materialen!$A$2:$I$39,9,0)),0)*(1+N(O113))+N(J113)*IFERROR(IF(VLOOKUP(I113,Materialen!$A$2:$I$39,9,0)="",0,VLOOKUP(I113,Materialen!$A$2:$I$39,9,0)),0)*(1+N(O113))+N(L113)*IFERROR(IF(VLOOKUP(K113,Materialen!$A$2:$I$39,9,0)="",0,VLOOKUP(K113,Materialen!$A$2:$I$39,9,0)),0)+N(N113)*IFERROR(IF(VLOOKUP(M113,Materialen!$A$2:$I$39,9,0)="",0,VLOOKUP(M113,Materialen!$A$2:$I$39,9,0)),0),2)</f>
        <v/>
      </c>
      <c r="Q113" s="5">
        <f>IF(G113="",0,IF(IFERROR(VLOOKUP(G113,Materialen!$A$2:$I$39,5,0),"N")="J",ROUND(N(H113)*(1+N(O113))*Instellingen!$B$8,2),0))</f>
        <v/>
      </c>
      <c r="R113" s="18" t="n"/>
      <c r="S113" s="5">
        <f>ROUND(N(R113)/60*Instellingen!$B$9,2)</f>
        <v/>
      </c>
      <c r="T113" s="14" t="n"/>
      <c r="U113" s="5">
        <f>P113+Q113+S113+N(T113)</f>
        <v/>
      </c>
      <c r="V113" s="5">
        <f>IF(AC113&lt;&gt;"OK","",F113-U113)</f>
        <v/>
      </c>
      <c r="W113" s="6">
        <f>IF(OR(F113=0,AC113&lt;&gt;"OK"),"",V113/F113)</f>
        <v/>
      </c>
      <c r="X113" s="5">
        <f>IF(N(H113)&gt;0,F113/H113,"")</f>
        <v/>
      </c>
      <c r="Y113" s="5">
        <f>IF(N(H113)&gt;0,IFERROR(IF(VLOOKUP(G113,Materialen!$A$2:$I$39,9,0)="",0,VLOOKUP(G113,Materialen!$A$2:$I$39,9,0)),0),"")</f>
        <v/>
      </c>
      <c r="Z113" s="5">
        <f>ROUND(E113*F113,2)</f>
        <v/>
      </c>
      <c r="AA113" s="5">
        <f>IF(AC113&lt;&gt;"OK","",ROUND(E113*U113,2))</f>
        <v/>
      </c>
      <c r="AB113" s="5">
        <f>IF(AC113&lt;&gt;"OK","",Z113-AA113)</f>
        <v/>
      </c>
      <c r="AC113" s="7">
        <f>IF((IF(G113="",0,IF(IFERROR(IF(VLOOKUP(G113,Materialen!$A$2:$I$39,9,0)="",0,VLOOKUP(G113,Materialen!$A$2:$I$39,9,0)),0)=0,1,0))+IF(I113="",0,IF(IFERROR(IF(VLOOKUP(I113,Materialen!$A$2:$I$39,9,0)="",0,VLOOKUP(I113,Materialen!$A$2:$I$39,9,0)),0)=0,1,0))+IF(K113="",0,IF(IFERROR(IF(VLOOKUP(K113,Materialen!$A$2:$I$39,9,0)="",0,VLOOKUP(K113,Materialen!$A$2:$I$39,9,0)),0)=0,1,0))+IF(M113="",0,IF(IFERROR(IF(VLOOKUP(M113,Materialen!$A$2:$I$39,9,0)="",0,VLOOKUP(M113,Materialen!$A$2:$I$39,9,0)),0)=0,1,0)))&gt;0,"aankoopprijs ontbreekt",IF(AND(G113="",K113="",N(T113)=0,N(R113)=0),"kost invullen (arbeid/overig)","OK"))</f>
        <v/>
      </c>
      <c r="AD113" s="7" t="inlineStr">
        <is>
          <t>Wieden/plotten = vooral arbeid</t>
        </is>
      </c>
    </row>
    <row r="114">
      <c r="A114" s="7" t="n">
        <v>113</v>
      </c>
      <c r="B114" s="7" t="inlineStr">
        <is>
          <t>10 cm</t>
        </is>
      </c>
      <c r="C114" s="7" t="inlineStr">
        <is>
          <t>&gt; 25 m²</t>
        </is>
      </c>
      <c r="D114" s="7" t="inlineStr">
        <is>
          <t>m²</t>
        </is>
      </c>
      <c r="E114" s="7" t="n">
        <v>5</v>
      </c>
      <c r="F114" s="5" t="n">
        <v>32</v>
      </c>
      <c r="G114" s="7" t="inlineStr">
        <is>
          <t>M41</t>
        </is>
      </c>
      <c r="H114" s="20" t="n">
        <v>1</v>
      </c>
      <c r="I114" s="7" t="inlineStr">
        <is>
          <t>M42</t>
        </is>
      </c>
      <c r="J114" s="20" t="n">
        <v>1</v>
      </c>
      <c r="K114" s="7" t="n"/>
      <c r="L114" s="7" t="n"/>
      <c r="M114" s="7" t="n"/>
      <c r="N114" s="7" t="n"/>
      <c r="O114" s="6">
        <f>IF(G114="","",IF(IFERROR(VLOOKUP(G114,Materialen!$A$2:$I$39,4,0),"")="plaat",Instellingen!$B$4,Instellingen!$B$3))</f>
        <v/>
      </c>
      <c r="P114" s="5">
        <f>ROUND(N(H114)*IFERROR(IF(VLOOKUP(G114,Materialen!$A$2:$I$39,9,0)="",0,VLOOKUP(G114,Materialen!$A$2:$I$39,9,0)),0)*(1+N(O114))+N(J114)*IFERROR(IF(VLOOKUP(I114,Materialen!$A$2:$I$39,9,0)="",0,VLOOKUP(I114,Materialen!$A$2:$I$39,9,0)),0)*(1+N(O114))+N(L114)*IFERROR(IF(VLOOKUP(K114,Materialen!$A$2:$I$39,9,0)="",0,VLOOKUP(K114,Materialen!$A$2:$I$39,9,0)),0)+N(N114)*IFERROR(IF(VLOOKUP(M114,Materialen!$A$2:$I$39,9,0)="",0,VLOOKUP(M114,Materialen!$A$2:$I$39,9,0)),0),2)</f>
        <v/>
      </c>
      <c r="Q114" s="5">
        <f>IF(G114="",0,IF(IFERROR(VLOOKUP(G114,Materialen!$A$2:$I$39,5,0),"N")="J",ROUND(N(H114)*(1+N(O114))*Instellingen!$B$8,2),0))</f>
        <v/>
      </c>
      <c r="R114" s="18" t="n"/>
      <c r="S114" s="5">
        <f>ROUND(N(R114)/60*Instellingen!$B$9,2)</f>
        <v/>
      </c>
      <c r="T114" s="14" t="n"/>
      <c r="U114" s="5">
        <f>P114+Q114+S114+N(T114)</f>
        <v/>
      </c>
      <c r="V114" s="5">
        <f>IF(AC114&lt;&gt;"OK","",F114-U114)</f>
        <v/>
      </c>
      <c r="W114" s="6">
        <f>IF(OR(F114=0,AC114&lt;&gt;"OK"),"",V114/F114)</f>
        <v/>
      </c>
      <c r="X114" s="5">
        <f>IF(N(H114)&gt;0,F114/H114,"")</f>
        <v/>
      </c>
      <c r="Y114" s="5">
        <f>IF(N(H114)&gt;0,IFERROR(IF(VLOOKUP(G114,Materialen!$A$2:$I$39,9,0)="",0,VLOOKUP(G114,Materialen!$A$2:$I$39,9,0)),0),"")</f>
        <v/>
      </c>
      <c r="Z114" s="5">
        <f>ROUND(E114*F114,2)</f>
        <v/>
      </c>
      <c r="AA114" s="5">
        <f>IF(AC114&lt;&gt;"OK","",ROUND(E114*U114,2))</f>
        <v/>
      </c>
      <c r="AB114" s="5">
        <f>IF(AC114&lt;&gt;"OK","",Z114-AA114)</f>
        <v/>
      </c>
      <c r="AC114" s="7">
        <f>IF((IF(G114="",0,IF(IFERROR(IF(VLOOKUP(G114,Materialen!$A$2:$I$39,9,0)="",0,VLOOKUP(G114,Materialen!$A$2:$I$39,9,0)),0)=0,1,0))+IF(I114="",0,IF(IFERROR(IF(VLOOKUP(I114,Materialen!$A$2:$I$39,9,0)="",0,VLOOKUP(I114,Materialen!$A$2:$I$39,9,0)),0)=0,1,0))+IF(K114="",0,IF(IFERROR(IF(VLOOKUP(K114,Materialen!$A$2:$I$39,9,0)="",0,VLOOKUP(K114,Materialen!$A$2:$I$39,9,0)),0)=0,1,0))+IF(M114="",0,IF(IFERROR(IF(VLOOKUP(M114,Materialen!$A$2:$I$39,9,0)="",0,VLOOKUP(M114,Materialen!$A$2:$I$39,9,0)),0)=0,1,0)))&gt;0,"aankoopprijs ontbreekt",IF(AND(G114="",K114="",N(T114)=0,N(R114)=0),"kost invullen (arbeid/overig)","OK"))</f>
        <v/>
      </c>
      <c r="AD114" s="7" t="inlineStr">
        <is>
          <t>Wieden/plotten = vooral arbeid</t>
        </is>
      </c>
    </row>
    <row r="115">
      <c r="A115" s="7" t="n">
        <v>114</v>
      </c>
      <c r="B115" s="7" t="inlineStr">
        <is>
          <t>20cm</t>
        </is>
      </c>
      <c r="C115" s="7" t="inlineStr">
        <is>
          <t>&gt;= A2 et &lt;= 1 m²</t>
        </is>
      </c>
      <c r="D115" s="7" t="inlineStr">
        <is>
          <t>m²</t>
        </is>
      </c>
      <c r="E115" s="7" t="n">
        <v>5</v>
      </c>
      <c r="F115" s="5" t="n">
        <v>42</v>
      </c>
      <c r="G115" s="7" t="inlineStr">
        <is>
          <t>M41</t>
        </is>
      </c>
      <c r="H115" s="20" t="n">
        <v>1</v>
      </c>
      <c r="I115" s="7" t="inlineStr">
        <is>
          <t>M42</t>
        </is>
      </c>
      <c r="J115" s="20" t="n">
        <v>1</v>
      </c>
      <c r="K115" s="7" t="n"/>
      <c r="L115" s="7" t="n"/>
      <c r="M115" s="7" t="n"/>
      <c r="N115" s="7" t="n"/>
      <c r="O115" s="6">
        <f>IF(G115="","",IF(IFERROR(VLOOKUP(G115,Materialen!$A$2:$I$39,4,0),"")="plaat",Instellingen!$B$4,Instellingen!$B$3))</f>
        <v/>
      </c>
      <c r="P115" s="5">
        <f>ROUND(N(H115)*IFERROR(IF(VLOOKUP(G115,Materialen!$A$2:$I$39,9,0)="",0,VLOOKUP(G115,Materialen!$A$2:$I$39,9,0)),0)*(1+N(O115))+N(J115)*IFERROR(IF(VLOOKUP(I115,Materialen!$A$2:$I$39,9,0)="",0,VLOOKUP(I115,Materialen!$A$2:$I$39,9,0)),0)*(1+N(O115))+N(L115)*IFERROR(IF(VLOOKUP(K115,Materialen!$A$2:$I$39,9,0)="",0,VLOOKUP(K115,Materialen!$A$2:$I$39,9,0)),0)+N(N115)*IFERROR(IF(VLOOKUP(M115,Materialen!$A$2:$I$39,9,0)="",0,VLOOKUP(M115,Materialen!$A$2:$I$39,9,0)),0),2)</f>
        <v/>
      </c>
      <c r="Q115" s="5">
        <f>IF(G115="",0,IF(IFERROR(VLOOKUP(G115,Materialen!$A$2:$I$39,5,0),"N")="J",ROUND(N(H115)*(1+N(O115))*Instellingen!$B$8,2),0))</f>
        <v/>
      </c>
      <c r="R115" s="18" t="n"/>
      <c r="S115" s="5">
        <f>ROUND(N(R115)/60*Instellingen!$B$9,2)</f>
        <v/>
      </c>
      <c r="T115" s="14" t="n"/>
      <c r="U115" s="5">
        <f>P115+Q115+S115+N(T115)</f>
        <v/>
      </c>
      <c r="V115" s="5">
        <f>IF(AC115&lt;&gt;"OK","",F115-U115)</f>
        <v/>
      </c>
      <c r="W115" s="6">
        <f>IF(OR(F115=0,AC115&lt;&gt;"OK"),"",V115/F115)</f>
        <v/>
      </c>
      <c r="X115" s="5">
        <f>IF(N(H115)&gt;0,F115/H115,"")</f>
        <v/>
      </c>
      <c r="Y115" s="5">
        <f>IF(N(H115)&gt;0,IFERROR(IF(VLOOKUP(G115,Materialen!$A$2:$I$39,9,0)="",0,VLOOKUP(G115,Materialen!$A$2:$I$39,9,0)),0),"")</f>
        <v/>
      </c>
      <c r="Z115" s="5">
        <f>ROUND(E115*F115,2)</f>
        <v/>
      </c>
      <c r="AA115" s="5">
        <f>IF(AC115&lt;&gt;"OK","",ROUND(E115*U115,2))</f>
        <v/>
      </c>
      <c r="AB115" s="5">
        <f>IF(AC115&lt;&gt;"OK","",Z115-AA115)</f>
        <v/>
      </c>
      <c r="AC115" s="7">
        <f>IF((IF(G115="",0,IF(IFERROR(IF(VLOOKUP(G115,Materialen!$A$2:$I$39,9,0)="",0,VLOOKUP(G115,Materialen!$A$2:$I$39,9,0)),0)=0,1,0))+IF(I115="",0,IF(IFERROR(IF(VLOOKUP(I115,Materialen!$A$2:$I$39,9,0)="",0,VLOOKUP(I115,Materialen!$A$2:$I$39,9,0)),0)=0,1,0))+IF(K115="",0,IF(IFERROR(IF(VLOOKUP(K115,Materialen!$A$2:$I$39,9,0)="",0,VLOOKUP(K115,Materialen!$A$2:$I$39,9,0)),0)=0,1,0))+IF(M115="",0,IF(IFERROR(IF(VLOOKUP(M115,Materialen!$A$2:$I$39,9,0)="",0,VLOOKUP(M115,Materialen!$A$2:$I$39,9,0)),0)=0,1,0)))&gt;0,"aankoopprijs ontbreekt",IF(AND(G115="",K115="",N(T115)=0,N(R115)=0),"kost invullen (arbeid/overig)","OK"))</f>
        <v/>
      </c>
      <c r="AD115" s="7" t="inlineStr">
        <is>
          <t>Wieden/plotten = vooral arbeid</t>
        </is>
      </c>
    </row>
    <row r="116">
      <c r="A116" s="7" t="n">
        <v>115</v>
      </c>
      <c r="B116" s="7" t="inlineStr">
        <is>
          <t>20cm</t>
        </is>
      </c>
      <c r="C116" s="7" t="inlineStr">
        <is>
          <t>&gt; 1 m² et &lt;= 2 m²</t>
        </is>
      </c>
      <c r="D116" s="7" t="inlineStr">
        <is>
          <t>m²</t>
        </is>
      </c>
      <c r="E116" s="7" t="n">
        <v>5</v>
      </c>
      <c r="F116" s="5" t="n">
        <v>37</v>
      </c>
      <c r="G116" s="7" t="inlineStr">
        <is>
          <t>M41</t>
        </is>
      </c>
      <c r="H116" s="20" t="n">
        <v>1</v>
      </c>
      <c r="I116" s="7" t="inlineStr">
        <is>
          <t>M42</t>
        </is>
      </c>
      <c r="J116" s="20" t="n">
        <v>1</v>
      </c>
      <c r="K116" s="7" t="n"/>
      <c r="L116" s="7" t="n"/>
      <c r="M116" s="7" t="n"/>
      <c r="N116" s="7" t="n"/>
      <c r="O116" s="6">
        <f>IF(G116="","",IF(IFERROR(VLOOKUP(G116,Materialen!$A$2:$I$39,4,0),"")="plaat",Instellingen!$B$4,Instellingen!$B$3))</f>
        <v/>
      </c>
      <c r="P116" s="5">
        <f>ROUND(N(H116)*IFERROR(IF(VLOOKUP(G116,Materialen!$A$2:$I$39,9,0)="",0,VLOOKUP(G116,Materialen!$A$2:$I$39,9,0)),0)*(1+N(O116))+N(J116)*IFERROR(IF(VLOOKUP(I116,Materialen!$A$2:$I$39,9,0)="",0,VLOOKUP(I116,Materialen!$A$2:$I$39,9,0)),0)*(1+N(O116))+N(L116)*IFERROR(IF(VLOOKUP(K116,Materialen!$A$2:$I$39,9,0)="",0,VLOOKUP(K116,Materialen!$A$2:$I$39,9,0)),0)+N(N116)*IFERROR(IF(VLOOKUP(M116,Materialen!$A$2:$I$39,9,0)="",0,VLOOKUP(M116,Materialen!$A$2:$I$39,9,0)),0),2)</f>
        <v/>
      </c>
      <c r="Q116" s="5">
        <f>IF(G116="",0,IF(IFERROR(VLOOKUP(G116,Materialen!$A$2:$I$39,5,0),"N")="J",ROUND(N(H116)*(1+N(O116))*Instellingen!$B$8,2),0))</f>
        <v/>
      </c>
      <c r="R116" s="18" t="n"/>
      <c r="S116" s="5">
        <f>ROUND(N(R116)/60*Instellingen!$B$9,2)</f>
        <v/>
      </c>
      <c r="T116" s="14" t="n"/>
      <c r="U116" s="5">
        <f>P116+Q116+S116+N(T116)</f>
        <v/>
      </c>
      <c r="V116" s="5">
        <f>IF(AC116&lt;&gt;"OK","",F116-U116)</f>
        <v/>
      </c>
      <c r="W116" s="6">
        <f>IF(OR(F116=0,AC116&lt;&gt;"OK"),"",V116/F116)</f>
        <v/>
      </c>
      <c r="X116" s="5">
        <f>IF(N(H116)&gt;0,F116/H116,"")</f>
        <v/>
      </c>
      <c r="Y116" s="5">
        <f>IF(N(H116)&gt;0,IFERROR(IF(VLOOKUP(G116,Materialen!$A$2:$I$39,9,0)="",0,VLOOKUP(G116,Materialen!$A$2:$I$39,9,0)),0),"")</f>
        <v/>
      </c>
      <c r="Z116" s="5">
        <f>ROUND(E116*F116,2)</f>
        <v/>
      </c>
      <c r="AA116" s="5">
        <f>IF(AC116&lt;&gt;"OK","",ROUND(E116*U116,2))</f>
        <v/>
      </c>
      <c r="AB116" s="5">
        <f>IF(AC116&lt;&gt;"OK","",Z116-AA116)</f>
        <v/>
      </c>
      <c r="AC116" s="7">
        <f>IF((IF(G116="",0,IF(IFERROR(IF(VLOOKUP(G116,Materialen!$A$2:$I$39,9,0)="",0,VLOOKUP(G116,Materialen!$A$2:$I$39,9,0)),0)=0,1,0))+IF(I116="",0,IF(IFERROR(IF(VLOOKUP(I116,Materialen!$A$2:$I$39,9,0)="",0,VLOOKUP(I116,Materialen!$A$2:$I$39,9,0)),0)=0,1,0))+IF(K116="",0,IF(IFERROR(IF(VLOOKUP(K116,Materialen!$A$2:$I$39,9,0)="",0,VLOOKUP(K116,Materialen!$A$2:$I$39,9,0)),0)=0,1,0))+IF(M116="",0,IF(IFERROR(IF(VLOOKUP(M116,Materialen!$A$2:$I$39,9,0)="",0,VLOOKUP(M116,Materialen!$A$2:$I$39,9,0)),0)=0,1,0)))&gt;0,"aankoopprijs ontbreekt",IF(AND(G116="",K116="",N(T116)=0,N(R116)=0),"kost invullen (arbeid/overig)","OK"))</f>
        <v/>
      </c>
      <c r="AD116" s="7" t="inlineStr">
        <is>
          <t>Wieden/plotten = vooral arbeid</t>
        </is>
      </c>
    </row>
    <row r="117">
      <c r="A117" s="7" t="n">
        <v>116</v>
      </c>
      <c r="B117" s="7" t="inlineStr">
        <is>
          <t>20cm</t>
        </is>
      </c>
      <c r="C117" s="7" t="inlineStr">
        <is>
          <t>&gt; 2 m² et &lt;= 5 m²</t>
        </is>
      </c>
      <c r="D117" s="7" t="inlineStr">
        <is>
          <t>m²</t>
        </is>
      </c>
      <c r="E117" s="7" t="n">
        <v>5</v>
      </c>
      <c r="F117" s="5" t="n">
        <v>34</v>
      </c>
      <c r="G117" s="7" t="inlineStr">
        <is>
          <t>M41</t>
        </is>
      </c>
      <c r="H117" s="20" t="n">
        <v>1</v>
      </c>
      <c r="I117" s="7" t="inlineStr">
        <is>
          <t>M42</t>
        </is>
      </c>
      <c r="J117" s="20" t="n">
        <v>1</v>
      </c>
      <c r="K117" s="7" t="n"/>
      <c r="L117" s="7" t="n"/>
      <c r="M117" s="7" t="n"/>
      <c r="N117" s="7" t="n"/>
      <c r="O117" s="6">
        <f>IF(G117="","",IF(IFERROR(VLOOKUP(G117,Materialen!$A$2:$I$39,4,0),"")="plaat",Instellingen!$B$4,Instellingen!$B$3))</f>
        <v/>
      </c>
      <c r="P117" s="5">
        <f>ROUND(N(H117)*IFERROR(IF(VLOOKUP(G117,Materialen!$A$2:$I$39,9,0)="",0,VLOOKUP(G117,Materialen!$A$2:$I$39,9,0)),0)*(1+N(O117))+N(J117)*IFERROR(IF(VLOOKUP(I117,Materialen!$A$2:$I$39,9,0)="",0,VLOOKUP(I117,Materialen!$A$2:$I$39,9,0)),0)*(1+N(O117))+N(L117)*IFERROR(IF(VLOOKUP(K117,Materialen!$A$2:$I$39,9,0)="",0,VLOOKUP(K117,Materialen!$A$2:$I$39,9,0)),0)+N(N117)*IFERROR(IF(VLOOKUP(M117,Materialen!$A$2:$I$39,9,0)="",0,VLOOKUP(M117,Materialen!$A$2:$I$39,9,0)),0),2)</f>
        <v/>
      </c>
      <c r="Q117" s="5">
        <f>IF(G117="",0,IF(IFERROR(VLOOKUP(G117,Materialen!$A$2:$I$39,5,0),"N")="J",ROUND(N(H117)*(1+N(O117))*Instellingen!$B$8,2),0))</f>
        <v/>
      </c>
      <c r="R117" s="18" t="n"/>
      <c r="S117" s="5">
        <f>ROUND(N(R117)/60*Instellingen!$B$9,2)</f>
        <v/>
      </c>
      <c r="T117" s="14" t="n"/>
      <c r="U117" s="5">
        <f>P117+Q117+S117+N(T117)</f>
        <v/>
      </c>
      <c r="V117" s="5">
        <f>IF(AC117&lt;&gt;"OK","",F117-U117)</f>
        <v/>
      </c>
      <c r="W117" s="6">
        <f>IF(OR(F117=0,AC117&lt;&gt;"OK"),"",V117/F117)</f>
        <v/>
      </c>
      <c r="X117" s="5">
        <f>IF(N(H117)&gt;0,F117/H117,"")</f>
        <v/>
      </c>
      <c r="Y117" s="5">
        <f>IF(N(H117)&gt;0,IFERROR(IF(VLOOKUP(G117,Materialen!$A$2:$I$39,9,0)="",0,VLOOKUP(G117,Materialen!$A$2:$I$39,9,0)),0),"")</f>
        <v/>
      </c>
      <c r="Z117" s="5">
        <f>ROUND(E117*F117,2)</f>
        <v/>
      </c>
      <c r="AA117" s="5">
        <f>IF(AC117&lt;&gt;"OK","",ROUND(E117*U117,2))</f>
        <v/>
      </c>
      <c r="AB117" s="5">
        <f>IF(AC117&lt;&gt;"OK","",Z117-AA117)</f>
        <v/>
      </c>
      <c r="AC117" s="7">
        <f>IF((IF(G117="",0,IF(IFERROR(IF(VLOOKUP(G117,Materialen!$A$2:$I$39,9,0)="",0,VLOOKUP(G117,Materialen!$A$2:$I$39,9,0)),0)=0,1,0))+IF(I117="",0,IF(IFERROR(IF(VLOOKUP(I117,Materialen!$A$2:$I$39,9,0)="",0,VLOOKUP(I117,Materialen!$A$2:$I$39,9,0)),0)=0,1,0))+IF(K117="",0,IF(IFERROR(IF(VLOOKUP(K117,Materialen!$A$2:$I$39,9,0)="",0,VLOOKUP(K117,Materialen!$A$2:$I$39,9,0)),0)=0,1,0))+IF(M117="",0,IF(IFERROR(IF(VLOOKUP(M117,Materialen!$A$2:$I$39,9,0)="",0,VLOOKUP(M117,Materialen!$A$2:$I$39,9,0)),0)=0,1,0)))&gt;0,"aankoopprijs ontbreekt",IF(AND(G117="",K117="",N(T117)=0,N(R117)=0),"kost invullen (arbeid/overig)","OK"))</f>
        <v/>
      </c>
      <c r="AD117" s="7" t="inlineStr">
        <is>
          <t>Wieden/plotten = vooral arbeid</t>
        </is>
      </c>
    </row>
    <row r="118">
      <c r="A118" s="7" t="n">
        <v>117</v>
      </c>
      <c r="B118" s="7" t="inlineStr">
        <is>
          <t>20cm</t>
        </is>
      </c>
      <c r="C118" s="7" t="inlineStr">
        <is>
          <t>&gt; 5 m² et &lt;= 10 m²</t>
        </is>
      </c>
      <c r="D118" s="7" t="inlineStr">
        <is>
          <t>m²</t>
        </is>
      </c>
      <c r="E118" s="7" t="n">
        <v>5</v>
      </c>
      <c r="F118" s="5" t="n">
        <v>31</v>
      </c>
      <c r="G118" s="7" t="inlineStr">
        <is>
          <t>M41</t>
        </is>
      </c>
      <c r="H118" s="20" t="n">
        <v>1</v>
      </c>
      <c r="I118" s="7" t="inlineStr">
        <is>
          <t>M42</t>
        </is>
      </c>
      <c r="J118" s="20" t="n">
        <v>1</v>
      </c>
      <c r="K118" s="7" t="n"/>
      <c r="L118" s="7" t="n"/>
      <c r="M118" s="7" t="n"/>
      <c r="N118" s="7" t="n"/>
      <c r="O118" s="6">
        <f>IF(G118="","",IF(IFERROR(VLOOKUP(G118,Materialen!$A$2:$I$39,4,0),"")="plaat",Instellingen!$B$4,Instellingen!$B$3))</f>
        <v/>
      </c>
      <c r="P118" s="5">
        <f>ROUND(N(H118)*IFERROR(IF(VLOOKUP(G118,Materialen!$A$2:$I$39,9,0)="",0,VLOOKUP(G118,Materialen!$A$2:$I$39,9,0)),0)*(1+N(O118))+N(J118)*IFERROR(IF(VLOOKUP(I118,Materialen!$A$2:$I$39,9,0)="",0,VLOOKUP(I118,Materialen!$A$2:$I$39,9,0)),0)*(1+N(O118))+N(L118)*IFERROR(IF(VLOOKUP(K118,Materialen!$A$2:$I$39,9,0)="",0,VLOOKUP(K118,Materialen!$A$2:$I$39,9,0)),0)+N(N118)*IFERROR(IF(VLOOKUP(M118,Materialen!$A$2:$I$39,9,0)="",0,VLOOKUP(M118,Materialen!$A$2:$I$39,9,0)),0),2)</f>
        <v/>
      </c>
      <c r="Q118" s="5">
        <f>IF(G118="",0,IF(IFERROR(VLOOKUP(G118,Materialen!$A$2:$I$39,5,0),"N")="J",ROUND(N(H118)*(1+N(O118))*Instellingen!$B$8,2),0))</f>
        <v/>
      </c>
      <c r="R118" s="18" t="n"/>
      <c r="S118" s="5">
        <f>ROUND(N(R118)/60*Instellingen!$B$9,2)</f>
        <v/>
      </c>
      <c r="T118" s="14" t="n"/>
      <c r="U118" s="5">
        <f>P118+Q118+S118+N(T118)</f>
        <v/>
      </c>
      <c r="V118" s="5">
        <f>IF(AC118&lt;&gt;"OK","",F118-U118)</f>
        <v/>
      </c>
      <c r="W118" s="6">
        <f>IF(OR(F118=0,AC118&lt;&gt;"OK"),"",V118/F118)</f>
        <v/>
      </c>
      <c r="X118" s="5">
        <f>IF(N(H118)&gt;0,F118/H118,"")</f>
        <v/>
      </c>
      <c r="Y118" s="5">
        <f>IF(N(H118)&gt;0,IFERROR(IF(VLOOKUP(G118,Materialen!$A$2:$I$39,9,0)="",0,VLOOKUP(G118,Materialen!$A$2:$I$39,9,0)),0),"")</f>
        <v/>
      </c>
      <c r="Z118" s="5">
        <f>ROUND(E118*F118,2)</f>
        <v/>
      </c>
      <c r="AA118" s="5">
        <f>IF(AC118&lt;&gt;"OK","",ROUND(E118*U118,2))</f>
        <v/>
      </c>
      <c r="AB118" s="5">
        <f>IF(AC118&lt;&gt;"OK","",Z118-AA118)</f>
        <v/>
      </c>
      <c r="AC118" s="7">
        <f>IF((IF(G118="",0,IF(IFERROR(IF(VLOOKUP(G118,Materialen!$A$2:$I$39,9,0)="",0,VLOOKUP(G118,Materialen!$A$2:$I$39,9,0)),0)=0,1,0))+IF(I118="",0,IF(IFERROR(IF(VLOOKUP(I118,Materialen!$A$2:$I$39,9,0)="",0,VLOOKUP(I118,Materialen!$A$2:$I$39,9,0)),0)=0,1,0))+IF(K118="",0,IF(IFERROR(IF(VLOOKUP(K118,Materialen!$A$2:$I$39,9,0)="",0,VLOOKUP(K118,Materialen!$A$2:$I$39,9,0)),0)=0,1,0))+IF(M118="",0,IF(IFERROR(IF(VLOOKUP(M118,Materialen!$A$2:$I$39,9,0)="",0,VLOOKUP(M118,Materialen!$A$2:$I$39,9,0)),0)=0,1,0)))&gt;0,"aankoopprijs ontbreekt",IF(AND(G118="",K118="",N(T118)=0,N(R118)=0),"kost invullen (arbeid/overig)","OK"))</f>
        <v/>
      </c>
      <c r="AD118" s="7" t="inlineStr">
        <is>
          <t>Wieden/plotten = vooral arbeid</t>
        </is>
      </c>
    </row>
    <row r="119">
      <c r="A119" s="7" t="n">
        <v>118</v>
      </c>
      <c r="B119" s="7" t="inlineStr">
        <is>
          <t>20cm</t>
        </is>
      </c>
      <c r="C119" s="7" t="inlineStr">
        <is>
          <t>&gt; 10 m² et &lt;= 25 m²</t>
        </is>
      </c>
      <c r="D119" s="7" t="inlineStr">
        <is>
          <t>m²</t>
        </is>
      </c>
      <c r="E119" s="7" t="n">
        <v>5</v>
      </c>
      <c r="F119" s="5" t="n">
        <v>28</v>
      </c>
      <c r="G119" s="7" t="inlineStr">
        <is>
          <t>M41</t>
        </is>
      </c>
      <c r="H119" s="20" t="n">
        <v>1</v>
      </c>
      <c r="I119" s="7" t="inlineStr">
        <is>
          <t>M42</t>
        </is>
      </c>
      <c r="J119" s="20" t="n">
        <v>1</v>
      </c>
      <c r="K119" s="7" t="n"/>
      <c r="L119" s="7" t="n"/>
      <c r="M119" s="7" t="n"/>
      <c r="N119" s="7" t="n"/>
      <c r="O119" s="6">
        <f>IF(G119="","",IF(IFERROR(VLOOKUP(G119,Materialen!$A$2:$I$39,4,0),"")="plaat",Instellingen!$B$4,Instellingen!$B$3))</f>
        <v/>
      </c>
      <c r="P119" s="5">
        <f>ROUND(N(H119)*IFERROR(IF(VLOOKUP(G119,Materialen!$A$2:$I$39,9,0)="",0,VLOOKUP(G119,Materialen!$A$2:$I$39,9,0)),0)*(1+N(O119))+N(J119)*IFERROR(IF(VLOOKUP(I119,Materialen!$A$2:$I$39,9,0)="",0,VLOOKUP(I119,Materialen!$A$2:$I$39,9,0)),0)*(1+N(O119))+N(L119)*IFERROR(IF(VLOOKUP(K119,Materialen!$A$2:$I$39,9,0)="",0,VLOOKUP(K119,Materialen!$A$2:$I$39,9,0)),0)+N(N119)*IFERROR(IF(VLOOKUP(M119,Materialen!$A$2:$I$39,9,0)="",0,VLOOKUP(M119,Materialen!$A$2:$I$39,9,0)),0),2)</f>
        <v/>
      </c>
      <c r="Q119" s="5">
        <f>IF(G119="",0,IF(IFERROR(VLOOKUP(G119,Materialen!$A$2:$I$39,5,0),"N")="J",ROUND(N(H119)*(1+N(O119))*Instellingen!$B$8,2),0))</f>
        <v/>
      </c>
      <c r="R119" s="18" t="n"/>
      <c r="S119" s="5">
        <f>ROUND(N(R119)/60*Instellingen!$B$9,2)</f>
        <v/>
      </c>
      <c r="T119" s="14" t="n"/>
      <c r="U119" s="5">
        <f>P119+Q119+S119+N(T119)</f>
        <v/>
      </c>
      <c r="V119" s="5">
        <f>IF(AC119&lt;&gt;"OK","",F119-U119)</f>
        <v/>
      </c>
      <c r="W119" s="6">
        <f>IF(OR(F119=0,AC119&lt;&gt;"OK"),"",V119/F119)</f>
        <v/>
      </c>
      <c r="X119" s="5">
        <f>IF(N(H119)&gt;0,F119/H119,"")</f>
        <v/>
      </c>
      <c r="Y119" s="5">
        <f>IF(N(H119)&gt;0,IFERROR(IF(VLOOKUP(G119,Materialen!$A$2:$I$39,9,0)="",0,VLOOKUP(G119,Materialen!$A$2:$I$39,9,0)),0),"")</f>
        <v/>
      </c>
      <c r="Z119" s="5">
        <f>ROUND(E119*F119,2)</f>
        <v/>
      </c>
      <c r="AA119" s="5">
        <f>IF(AC119&lt;&gt;"OK","",ROUND(E119*U119,2))</f>
        <v/>
      </c>
      <c r="AB119" s="5">
        <f>IF(AC119&lt;&gt;"OK","",Z119-AA119)</f>
        <v/>
      </c>
      <c r="AC119" s="7">
        <f>IF((IF(G119="",0,IF(IFERROR(IF(VLOOKUP(G119,Materialen!$A$2:$I$39,9,0)="",0,VLOOKUP(G119,Materialen!$A$2:$I$39,9,0)),0)=0,1,0))+IF(I119="",0,IF(IFERROR(IF(VLOOKUP(I119,Materialen!$A$2:$I$39,9,0)="",0,VLOOKUP(I119,Materialen!$A$2:$I$39,9,0)),0)=0,1,0))+IF(K119="",0,IF(IFERROR(IF(VLOOKUP(K119,Materialen!$A$2:$I$39,9,0)="",0,VLOOKUP(K119,Materialen!$A$2:$I$39,9,0)),0)=0,1,0))+IF(M119="",0,IF(IFERROR(IF(VLOOKUP(M119,Materialen!$A$2:$I$39,9,0)="",0,VLOOKUP(M119,Materialen!$A$2:$I$39,9,0)),0)=0,1,0)))&gt;0,"aankoopprijs ontbreekt",IF(AND(G119="",K119="",N(T119)=0,N(R119)=0),"kost invullen (arbeid/overig)","OK"))</f>
        <v/>
      </c>
      <c r="AD119" s="7" t="inlineStr">
        <is>
          <t>Wieden/plotten = vooral arbeid</t>
        </is>
      </c>
    </row>
    <row r="120">
      <c r="A120" s="7" t="n">
        <v>119</v>
      </c>
      <c r="B120" s="7" t="inlineStr">
        <is>
          <t>20cm</t>
        </is>
      </c>
      <c r="C120" s="7" t="inlineStr">
        <is>
          <t>&gt; 25 m²</t>
        </is>
      </c>
      <c r="D120" s="7" t="inlineStr">
        <is>
          <t>m²</t>
        </is>
      </c>
      <c r="E120" s="7" t="n">
        <v>5</v>
      </c>
      <c r="F120" s="5" t="n">
        <v>26</v>
      </c>
      <c r="G120" s="7" t="inlineStr">
        <is>
          <t>M41</t>
        </is>
      </c>
      <c r="H120" s="20" t="n">
        <v>1</v>
      </c>
      <c r="I120" s="7" t="inlineStr">
        <is>
          <t>M42</t>
        </is>
      </c>
      <c r="J120" s="20" t="n">
        <v>1</v>
      </c>
      <c r="K120" s="7" t="n"/>
      <c r="L120" s="7" t="n"/>
      <c r="M120" s="7" t="n"/>
      <c r="N120" s="7" t="n"/>
      <c r="O120" s="6">
        <f>IF(G120="","",IF(IFERROR(VLOOKUP(G120,Materialen!$A$2:$I$39,4,0),"")="plaat",Instellingen!$B$4,Instellingen!$B$3))</f>
        <v/>
      </c>
      <c r="P120" s="5">
        <f>ROUND(N(H120)*IFERROR(IF(VLOOKUP(G120,Materialen!$A$2:$I$39,9,0)="",0,VLOOKUP(G120,Materialen!$A$2:$I$39,9,0)),0)*(1+N(O120))+N(J120)*IFERROR(IF(VLOOKUP(I120,Materialen!$A$2:$I$39,9,0)="",0,VLOOKUP(I120,Materialen!$A$2:$I$39,9,0)),0)*(1+N(O120))+N(L120)*IFERROR(IF(VLOOKUP(K120,Materialen!$A$2:$I$39,9,0)="",0,VLOOKUP(K120,Materialen!$A$2:$I$39,9,0)),0)+N(N120)*IFERROR(IF(VLOOKUP(M120,Materialen!$A$2:$I$39,9,0)="",0,VLOOKUP(M120,Materialen!$A$2:$I$39,9,0)),0),2)</f>
        <v/>
      </c>
      <c r="Q120" s="5">
        <f>IF(G120="",0,IF(IFERROR(VLOOKUP(G120,Materialen!$A$2:$I$39,5,0),"N")="J",ROUND(N(H120)*(1+N(O120))*Instellingen!$B$8,2),0))</f>
        <v/>
      </c>
      <c r="R120" s="18" t="n"/>
      <c r="S120" s="5">
        <f>ROUND(N(R120)/60*Instellingen!$B$9,2)</f>
        <v/>
      </c>
      <c r="T120" s="14" t="n"/>
      <c r="U120" s="5">
        <f>P120+Q120+S120+N(T120)</f>
        <v/>
      </c>
      <c r="V120" s="5">
        <f>IF(AC120&lt;&gt;"OK","",F120-U120)</f>
        <v/>
      </c>
      <c r="W120" s="6">
        <f>IF(OR(F120=0,AC120&lt;&gt;"OK"),"",V120/F120)</f>
        <v/>
      </c>
      <c r="X120" s="5">
        <f>IF(N(H120)&gt;0,F120/H120,"")</f>
        <v/>
      </c>
      <c r="Y120" s="5">
        <f>IF(N(H120)&gt;0,IFERROR(IF(VLOOKUP(G120,Materialen!$A$2:$I$39,9,0)="",0,VLOOKUP(G120,Materialen!$A$2:$I$39,9,0)),0),"")</f>
        <v/>
      </c>
      <c r="Z120" s="5">
        <f>ROUND(E120*F120,2)</f>
        <v/>
      </c>
      <c r="AA120" s="5">
        <f>IF(AC120&lt;&gt;"OK","",ROUND(E120*U120,2))</f>
        <v/>
      </c>
      <c r="AB120" s="5">
        <f>IF(AC120&lt;&gt;"OK","",Z120-AA120)</f>
        <v/>
      </c>
      <c r="AC120" s="7">
        <f>IF((IF(G120="",0,IF(IFERROR(IF(VLOOKUP(G120,Materialen!$A$2:$I$39,9,0)="",0,VLOOKUP(G120,Materialen!$A$2:$I$39,9,0)),0)=0,1,0))+IF(I120="",0,IF(IFERROR(IF(VLOOKUP(I120,Materialen!$A$2:$I$39,9,0)="",0,VLOOKUP(I120,Materialen!$A$2:$I$39,9,0)),0)=0,1,0))+IF(K120="",0,IF(IFERROR(IF(VLOOKUP(K120,Materialen!$A$2:$I$39,9,0)="",0,VLOOKUP(K120,Materialen!$A$2:$I$39,9,0)),0)=0,1,0))+IF(M120="",0,IF(IFERROR(IF(VLOOKUP(M120,Materialen!$A$2:$I$39,9,0)="",0,VLOOKUP(M120,Materialen!$A$2:$I$39,9,0)),0)=0,1,0)))&gt;0,"aankoopprijs ontbreekt",IF(AND(G120="",K120="",N(T120)=0,N(R120)=0),"kost invullen (arbeid/overig)","OK"))</f>
        <v/>
      </c>
      <c r="AD120" s="7" t="inlineStr">
        <is>
          <t>Wieden/plotten = vooral arbeid</t>
        </is>
      </c>
    </row>
    <row r="121">
      <c r="A121" s="7" t="n">
        <v>120</v>
      </c>
      <c r="B121" s="7" t="inlineStr">
        <is>
          <t>30cm</t>
        </is>
      </c>
      <c r="C121" s="7" t="inlineStr">
        <is>
          <t>&gt;= A2 et &lt;= 1 m²</t>
        </is>
      </c>
      <c r="D121" s="7" t="inlineStr">
        <is>
          <t>m²</t>
        </is>
      </c>
      <c r="E121" s="7" t="n">
        <v>5</v>
      </c>
      <c r="F121" s="5" t="n">
        <v>36</v>
      </c>
      <c r="G121" s="7" t="inlineStr">
        <is>
          <t>M41</t>
        </is>
      </c>
      <c r="H121" s="20" t="n">
        <v>1</v>
      </c>
      <c r="I121" s="7" t="inlineStr">
        <is>
          <t>M42</t>
        </is>
      </c>
      <c r="J121" s="20" t="n">
        <v>1</v>
      </c>
      <c r="K121" s="7" t="n"/>
      <c r="L121" s="7" t="n"/>
      <c r="M121" s="7" t="n"/>
      <c r="N121" s="7" t="n"/>
      <c r="O121" s="6">
        <f>IF(G121="","",IF(IFERROR(VLOOKUP(G121,Materialen!$A$2:$I$39,4,0),"")="plaat",Instellingen!$B$4,Instellingen!$B$3))</f>
        <v/>
      </c>
      <c r="P121" s="5">
        <f>ROUND(N(H121)*IFERROR(IF(VLOOKUP(G121,Materialen!$A$2:$I$39,9,0)="",0,VLOOKUP(G121,Materialen!$A$2:$I$39,9,0)),0)*(1+N(O121))+N(J121)*IFERROR(IF(VLOOKUP(I121,Materialen!$A$2:$I$39,9,0)="",0,VLOOKUP(I121,Materialen!$A$2:$I$39,9,0)),0)*(1+N(O121))+N(L121)*IFERROR(IF(VLOOKUP(K121,Materialen!$A$2:$I$39,9,0)="",0,VLOOKUP(K121,Materialen!$A$2:$I$39,9,0)),0)+N(N121)*IFERROR(IF(VLOOKUP(M121,Materialen!$A$2:$I$39,9,0)="",0,VLOOKUP(M121,Materialen!$A$2:$I$39,9,0)),0),2)</f>
        <v/>
      </c>
      <c r="Q121" s="5">
        <f>IF(G121="",0,IF(IFERROR(VLOOKUP(G121,Materialen!$A$2:$I$39,5,0),"N")="J",ROUND(N(H121)*(1+N(O121))*Instellingen!$B$8,2),0))</f>
        <v/>
      </c>
      <c r="R121" s="18" t="n"/>
      <c r="S121" s="5">
        <f>ROUND(N(R121)/60*Instellingen!$B$9,2)</f>
        <v/>
      </c>
      <c r="T121" s="14" t="n"/>
      <c r="U121" s="5">
        <f>P121+Q121+S121+N(T121)</f>
        <v/>
      </c>
      <c r="V121" s="5">
        <f>IF(AC121&lt;&gt;"OK","",F121-U121)</f>
        <v/>
      </c>
      <c r="W121" s="6">
        <f>IF(OR(F121=0,AC121&lt;&gt;"OK"),"",V121/F121)</f>
        <v/>
      </c>
      <c r="X121" s="5">
        <f>IF(N(H121)&gt;0,F121/H121,"")</f>
        <v/>
      </c>
      <c r="Y121" s="5">
        <f>IF(N(H121)&gt;0,IFERROR(IF(VLOOKUP(G121,Materialen!$A$2:$I$39,9,0)="",0,VLOOKUP(G121,Materialen!$A$2:$I$39,9,0)),0),"")</f>
        <v/>
      </c>
      <c r="Z121" s="5">
        <f>ROUND(E121*F121,2)</f>
        <v/>
      </c>
      <c r="AA121" s="5">
        <f>IF(AC121&lt;&gt;"OK","",ROUND(E121*U121,2))</f>
        <v/>
      </c>
      <c r="AB121" s="5">
        <f>IF(AC121&lt;&gt;"OK","",Z121-AA121)</f>
        <v/>
      </c>
      <c r="AC121" s="7">
        <f>IF((IF(G121="",0,IF(IFERROR(IF(VLOOKUP(G121,Materialen!$A$2:$I$39,9,0)="",0,VLOOKUP(G121,Materialen!$A$2:$I$39,9,0)),0)=0,1,0))+IF(I121="",0,IF(IFERROR(IF(VLOOKUP(I121,Materialen!$A$2:$I$39,9,0)="",0,VLOOKUP(I121,Materialen!$A$2:$I$39,9,0)),0)=0,1,0))+IF(K121="",0,IF(IFERROR(IF(VLOOKUP(K121,Materialen!$A$2:$I$39,9,0)="",0,VLOOKUP(K121,Materialen!$A$2:$I$39,9,0)),0)=0,1,0))+IF(M121="",0,IF(IFERROR(IF(VLOOKUP(M121,Materialen!$A$2:$I$39,9,0)="",0,VLOOKUP(M121,Materialen!$A$2:$I$39,9,0)),0)=0,1,0)))&gt;0,"aankoopprijs ontbreekt",IF(AND(G121="",K121="",N(T121)=0,N(R121)=0),"kost invullen (arbeid/overig)","OK"))</f>
        <v/>
      </c>
      <c r="AD121" s="7" t="inlineStr">
        <is>
          <t>Wieden/plotten = vooral arbeid</t>
        </is>
      </c>
    </row>
    <row r="122">
      <c r="A122" s="7" t="n">
        <v>121</v>
      </c>
      <c r="B122" s="7" t="inlineStr">
        <is>
          <t>30cm</t>
        </is>
      </c>
      <c r="C122" s="7" t="inlineStr">
        <is>
          <t>&gt; 1 m² et &lt;= 2 m²</t>
        </is>
      </c>
      <c r="D122" s="7" t="inlineStr">
        <is>
          <t>m²</t>
        </is>
      </c>
      <c r="E122" s="7" t="n">
        <v>5</v>
      </c>
      <c r="F122" s="5" t="n">
        <v>32</v>
      </c>
      <c r="G122" s="7" t="inlineStr">
        <is>
          <t>M41</t>
        </is>
      </c>
      <c r="H122" s="20" t="n">
        <v>1</v>
      </c>
      <c r="I122" s="7" t="inlineStr">
        <is>
          <t>M42</t>
        </is>
      </c>
      <c r="J122" s="20" t="n">
        <v>1</v>
      </c>
      <c r="K122" s="7" t="n"/>
      <c r="L122" s="7" t="n"/>
      <c r="M122" s="7" t="n"/>
      <c r="N122" s="7" t="n"/>
      <c r="O122" s="6">
        <f>IF(G122="","",IF(IFERROR(VLOOKUP(G122,Materialen!$A$2:$I$39,4,0),"")="plaat",Instellingen!$B$4,Instellingen!$B$3))</f>
        <v/>
      </c>
      <c r="P122" s="5">
        <f>ROUND(N(H122)*IFERROR(IF(VLOOKUP(G122,Materialen!$A$2:$I$39,9,0)="",0,VLOOKUP(G122,Materialen!$A$2:$I$39,9,0)),0)*(1+N(O122))+N(J122)*IFERROR(IF(VLOOKUP(I122,Materialen!$A$2:$I$39,9,0)="",0,VLOOKUP(I122,Materialen!$A$2:$I$39,9,0)),0)*(1+N(O122))+N(L122)*IFERROR(IF(VLOOKUP(K122,Materialen!$A$2:$I$39,9,0)="",0,VLOOKUP(K122,Materialen!$A$2:$I$39,9,0)),0)+N(N122)*IFERROR(IF(VLOOKUP(M122,Materialen!$A$2:$I$39,9,0)="",0,VLOOKUP(M122,Materialen!$A$2:$I$39,9,0)),0),2)</f>
        <v/>
      </c>
      <c r="Q122" s="5">
        <f>IF(G122="",0,IF(IFERROR(VLOOKUP(G122,Materialen!$A$2:$I$39,5,0),"N")="J",ROUND(N(H122)*(1+N(O122))*Instellingen!$B$8,2),0))</f>
        <v/>
      </c>
      <c r="R122" s="18" t="n"/>
      <c r="S122" s="5">
        <f>ROUND(N(R122)/60*Instellingen!$B$9,2)</f>
        <v/>
      </c>
      <c r="T122" s="14" t="n"/>
      <c r="U122" s="5">
        <f>P122+Q122+S122+N(T122)</f>
        <v/>
      </c>
      <c r="V122" s="5">
        <f>IF(AC122&lt;&gt;"OK","",F122-U122)</f>
        <v/>
      </c>
      <c r="W122" s="6">
        <f>IF(OR(F122=0,AC122&lt;&gt;"OK"),"",V122/F122)</f>
        <v/>
      </c>
      <c r="X122" s="5">
        <f>IF(N(H122)&gt;0,F122/H122,"")</f>
        <v/>
      </c>
      <c r="Y122" s="5">
        <f>IF(N(H122)&gt;0,IFERROR(IF(VLOOKUP(G122,Materialen!$A$2:$I$39,9,0)="",0,VLOOKUP(G122,Materialen!$A$2:$I$39,9,0)),0),"")</f>
        <v/>
      </c>
      <c r="Z122" s="5">
        <f>ROUND(E122*F122,2)</f>
        <v/>
      </c>
      <c r="AA122" s="5">
        <f>IF(AC122&lt;&gt;"OK","",ROUND(E122*U122,2))</f>
        <v/>
      </c>
      <c r="AB122" s="5">
        <f>IF(AC122&lt;&gt;"OK","",Z122-AA122)</f>
        <v/>
      </c>
      <c r="AC122" s="7">
        <f>IF((IF(G122="",0,IF(IFERROR(IF(VLOOKUP(G122,Materialen!$A$2:$I$39,9,0)="",0,VLOOKUP(G122,Materialen!$A$2:$I$39,9,0)),0)=0,1,0))+IF(I122="",0,IF(IFERROR(IF(VLOOKUP(I122,Materialen!$A$2:$I$39,9,0)="",0,VLOOKUP(I122,Materialen!$A$2:$I$39,9,0)),0)=0,1,0))+IF(K122="",0,IF(IFERROR(IF(VLOOKUP(K122,Materialen!$A$2:$I$39,9,0)="",0,VLOOKUP(K122,Materialen!$A$2:$I$39,9,0)),0)=0,1,0))+IF(M122="",0,IF(IFERROR(IF(VLOOKUP(M122,Materialen!$A$2:$I$39,9,0)="",0,VLOOKUP(M122,Materialen!$A$2:$I$39,9,0)),0)=0,1,0)))&gt;0,"aankoopprijs ontbreekt",IF(AND(G122="",K122="",N(T122)=0,N(R122)=0),"kost invullen (arbeid/overig)","OK"))</f>
        <v/>
      </c>
      <c r="AD122" s="7" t="inlineStr">
        <is>
          <t>Wieden/plotten = vooral arbeid</t>
        </is>
      </c>
    </row>
    <row r="123">
      <c r="A123" s="7" t="n">
        <v>122</v>
      </c>
      <c r="B123" s="7" t="inlineStr">
        <is>
          <t>30cm</t>
        </is>
      </c>
      <c r="C123" s="7" t="inlineStr">
        <is>
          <t>&gt; 2 m² et &lt;= 5 m²</t>
        </is>
      </c>
      <c r="D123" s="7" t="inlineStr">
        <is>
          <t>m²</t>
        </is>
      </c>
      <c r="E123" s="7" t="n">
        <v>5</v>
      </c>
      <c r="F123" s="5" t="n">
        <v>29</v>
      </c>
      <c r="G123" s="7" t="inlineStr">
        <is>
          <t>M41</t>
        </is>
      </c>
      <c r="H123" s="20" t="n">
        <v>1</v>
      </c>
      <c r="I123" s="7" t="inlineStr">
        <is>
          <t>M42</t>
        </is>
      </c>
      <c r="J123" s="20" t="n">
        <v>1</v>
      </c>
      <c r="K123" s="7" t="n"/>
      <c r="L123" s="7" t="n"/>
      <c r="M123" s="7" t="n"/>
      <c r="N123" s="7" t="n"/>
      <c r="O123" s="6">
        <f>IF(G123="","",IF(IFERROR(VLOOKUP(G123,Materialen!$A$2:$I$39,4,0),"")="plaat",Instellingen!$B$4,Instellingen!$B$3))</f>
        <v/>
      </c>
      <c r="P123" s="5">
        <f>ROUND(N(H123)*IFERROR(IF(VLOOKUP(G123,Materialen!$A$2:$I$39,9,0)="",0,VLOOKUP(G123,Materialen!$A$2:$I$39,9,0)),0)*(1+N(O123))+N(J123)*IFERROR(IF(VLOOKUP(I123,Materialen!$A$2:$I$39,9,0)="",0,VLOOKUP(I123,Materialen!$A$2:$I$39,9,0)),0)*(1+N(O123))+N(L123)*IFERROR(IF(VLOOKUP(K123,Materialen!$A$2:$I$39,9,0)="",0,VLOOKUP(K123,Materialen!$A$2:$I$39,9,0)),0)+N(N123)*IFERROR(IF(VLOOKUP(M123,Materialen!$A$2:$I$39,9,0)="",0,VLOOKUP(M123,Materialen!$A$2:$I$39,9,0)),0),2)</f>
        <v/>
      </c>
      <c r="Q123" s="5">
        <f>IF(G123="",0,IF(IFERROR(VLOOKUP(G123,Materialen!$A$2:$I$39,5,0),"N")="J",ROUND(N(H123)*(1+N(O123))*Instellingen!$B$8,2),0))</f>
        <v/>
      </c>
      <c r="R123" s="18" t="n"/>
      <c r="S123" s="5">
        <f>ROUND(N(R123)/60*Instellingen!$B$9,2)</f>
        <v/>
      </c>
      <c r="T123" s="14" t="n"/>
      <c r="U123" s="5">
        <f>P123+Q123+S123+N(T123)</f>
        <v/>
      </c>
      <c r="V123" s="5">
        <f>IF(AC123&lt;&gt;"OK","",F123-U123)</f>
        <v/>
      </c>
      <c r="W123" s="6">
        <f>IF(OR(F123=0,AC123&lt;&gt;"OK"),"",V123/F123)</f>
        <v/>
      </c>
      <c r="X123" s="5">
        <f>IF(N(H123)&gt;0,F123/H123,"")</f>
        <v/>
      </c>
      <c r="Y123" s="5">
        <f>IF(N(H123)&gt;0,IFERROR(IF(VLOOKUP(G123,Materialen!$A$2:$I$39,9,0)="",0,VLOOKUP(G123,Materialen!$A$2:$I$39,9,0)),0),"")</f>
        <v/>
      </c>
      <c r="Z123" s="5">
        <f>ROUND(E123*F123,2)</f>
        <v/>
      </c>
      <c r="AA123" s="5">
        <f>IF(AC123&lt;&gt;"OK","",ROUND(E123*U123,2))</f>
        <v/>
      </c>
      <c r="AB123" s="5">
        <f>IF(AC123&lt;&gt;"OK","",Z123-AA123)</f>
        <v/>
      </c>
      <c r="AC123" s="7">
        <f>IF((IF(G123="",0,IF(IFERROR(IF(VLOOKUP(G123,Materialen!$A$2:$I$39,9,0)="",0,VLOOKUP(G123,Materialen!$A$2:$I$39,9,0)),0)=0,1,0))+IF(I123="",0,IF(IFERROR(IF(VLOOKUP(I123,Materialen!$A$2:$I$39,9,0)="",0,VLOOKUP(I123,Materialen!$A$2:$I$39,9,0)),0)=0,1,0))+IF(K123="",0,IF(IFERROR(IF(VLOOKUP(K123,Materialen!$A$2:$I$39,9,0)="",0,VLOOKUP(K123,Materialen!$A$2:$I$39,9,0)),0)=0,1,0))+IF(M123="",0,IF(IFERROR(IF(VLOOKUP(M123,Materialen!$A$2:$I$39,9,0)="",0,VLOOKUP(M123,Materialen!$A$2:$I$39,9,0)),0)=0,1,0)))&gt;0,"aankoopprijs ontbreekt",IF(AND(G123="",K123="",N(T123)=0,N(R123)=0),"kost invullen (arbeid/overig)","OK"))</f>
        <v/>
      </c>
      <c r="AD123" s="7" t="inlineStr">
        <is>
          <t>Wieden/plotten = vooral arbeid</t>
        </is>
      </c>
    </row>
    <row r="124">
      <c r="A124" s="7" t="n">
        <v>123</v>
      </c>
      <c r="B124" s="7" t="inlineStr">
        <is>
          <t>30cm</t>
        </is>
      </c>
      <c r="C124" s="7" t="inlineStr">
        <is>
          <t>&gt; 5 m² et &lt;= 10 m²</t>
        </is>
      </c>
      <c r="D124" s="7" t="inlineStr">
        <is>
          <t>m²</t>
        </is>
      </c>
      <c r="E124" s="7" t="n">
        <v>5</v>
      </c>
      <c r="F124" s="5" t="n">
        <v>26</v>
      </c>
      <c r="G124" s="7" t="inlineStr">
        <is>
          <t>M41</t>
        </is>
      </c>
      <c r="H124" s="20" t="n">
        <v>1</v>
      </c>
      <c r="I124" s="7" t="inlineStr">
        <is>
          <t>M42</t>
        </is>
      </c>
      <c r="J124" s="20" t="n">
        <v>1</v>
      </c>
      <c r="K124" s="7" t="n"/>
      <c r="L124" s="7" t="n"/>
      <c r="M124" s="7" t="n"/>
      <c r="N124" s="7" t="n"/>
      <c r="O124" s="6">
        <f>IF(G124="","",IF(IFERROR(VLOOKUP(G124,Materialen!$A$2:$I$39,4,0),"")="plaat",Instellingen!$B$4,Instellingen!$B$3))</f>
        <v/>
      </c>
      <c r="P124" s="5">
        <f>ROUND(N(H124)*IFERROR(IF(VLOOKUP(G124,Materialen!$A$2:$I$39,9,0)="",0,VLOOKUP(G124,Materialen!$A$2:$I$39,9,0)),0)*(1+N(O124))+N(J124)*IFERROR(IF(VLOOKUP(I124,Materialen!$A$2:$I$39,9,0)="",0,VLOOKUP(I124,Materialen!$A$2:$I$39,9,0)),0)*(1+N(O124))+N(L124)*IFERROR(IF(VLOOKUP(K124,Materialen!$A$2:$I$39,9,0)="",0,VLOOKUP(K124,Materialen!$A$2:$I$39,9,0)),0)+N(N124)*IFERROR(IF(VLOOKUP(M124,Materialen!$A$2:$I$39,9,0)="",0,VLOOKUP(M124,Materialen!$A$2:$I$39,9,0)),0),2)</f>
        <v/>
      </c>
      <c r="Q124" s="5">
        <f>IF(G124="",0,IF(IFERROR(VLOOKUP(G124,Materialen!$A$2:$I$39,5,0),"N")="J",ROUND(N(H124)*(1+N(O124))*Instellingen!$B$8,2),0))</f>
        <v/>
      </c>
      <c r="R124" s="18" t="n"/>
      <c r="S124" s="5">
        <f>ROUND(N(R124)/60*Instellingen!$B$9,2)</f>
        <v/>
      </c>
      <c r="T124" s="14" t="n"/>
      <c r="U124" s="5">
        <f>P124+Q124+S124+N(T124)</f>
        <v/>
      </c>
      <c r="V124" s="5">
        <f>IF(AC124&lt;&gt;"OK","",F124-U124)</f>
        <v/>
      </c>
      <c r="W124" s="6">
        <f>IF(OR(F124=0,AC124&lt;&gt;"OK"),"",V124/F124)</f>
        <v/>
      </c>
      <c r="X124" s="5">
        <f>IF(N(H124)&gt;0,F124/H124,"")</f>
        <v/>
      </c>
      <c r="Y124" s="5">
        <f>IF(N(H124)&gt;0,IFERROR(IF(VLOOKUP(G124,Materialen!$A$2:$I$39,9,0)="",0,VLOOKUP(G124,Materialen!$A$2:$I$39,9,0)),0),"")</f>
        <v/>
      </c>
      <c r="Z124" s="5">
        <f>ROUND(E124*F124,2)</f>
        <v/>
      </c>
      <c r="AA124" s="5">
        <f>IF(AC124&lt;&gt;"OK","",ROUND(E124*U124,2))</f>
        <v/>
      </c>
      <c r="AB124" s="5">
        <f>IF(AC124&lt;&gt;"OK","",Z124-AA124)</f>
        <v/>
      </c>
      <c r="AC124" s="7">
        <f>IF((IF(G124="",0,IF(IFERROR(IF(VLOOKUP(G124,Materialen!$A$2:$I$39,9,0)="",0,VLOOKUP(G124,Materialen!$A$2:$I$39,9,0)),0)=0,1,0))+IF(I124="",0,IF(IFERROR(IF(VLOOKUP(I124,Materialen!$A$2:$I$39,9,0)="",0,VLOOKUP(I124,Materialen!$A$2:$I$39,9,0)),0)=0,1,0))+IF(K124="",0,IF(IFERROR(IF(VLOOKUP(K124,Materialen!$A$2:$I$39,9,0)="",0,VLOOKUP(K124,Materialen!$A$2:$I$39,9,0)),0)=0,1,0))+IF(M124="",0,IF(IFERROR(IF(VLOOKUP(M124,Materialen!$A$2:$I$39,9,0)="",0,VLOOKUP(M124,Materialen!$A$2:$I$39,9,0)),0)=0,1,0)))&gt;0,"aankoopprijs ontbreekt",IF(AND(G124="",K124="",N(T124)=0,N(R124)=0),"kost invullen (arbeid/overig)","OK"))</f>
        <v/>
      </c>
      <c r="AD124" s="7" t="inlineStr">
        <is>
          <t>Wieden/plotten = vooral arbeid</t>
        </is>
      </c>
    </row>
    <row r="125">
      <c r="A125" s="7" t="n">
        <v>124</v>
      </c>
      <c r="B125" s="7" t="inlineStr">
        <is>
          <t>30cm</t>
        </is>
      </c>
      <c r="C125" s="7" t="inlineStr">
        <is>
          <t>&gt; 10 m² et &lt;= 25 m²</t>
        </is>
      </c>
      <c r="D125" s="7" t="inlineStr">
        <is>
          <t>m²</t>
        </is>
      </c>
      <c r="E125" s="7" t="n">
        <v>5</v>
      </c>
      <c r="F125" s="5" t="n">
        <v>24</v>
      </c>
      <c r="G125" s="7" t="inlineStr">
        <is>
          <t>M41</t>
        </is>
      </c>
      <c r="H125" s="20" t="n">
        <v>1</v>
      </c>
      <c r="I125" s="7" t="inlineStr">
        <is>
          <t>M42</t>
        </is>
      </c>
      <c r="J125" s="20" t="n">
        <v>1</v>
      </c>
      <c r="K125" s="7" t="n"/>
      <c r="L125" s="7" t="n"/>
      <c r="M125" s="7" t="n"/>
      <c r="N125" s="7" t="n"/>
      <c r="O125" s="6">
        <f>IF(G125="","",IF(IFERROR(VLOOKUP(G125,Materialen!$A$2:$I$39,4,0),"")="plaat",Instellingen!$B$4,Instellingen!$B$3))</f>
        <v/>
      </c>
      <c r="P125" s="5">
        <f>ROUND(N(H125)*IFERROR(IF(VLOOKUP(G125,Materialen!$A$2:$I$39,9,0)="",0,VLOOKUP(G125,Materialen!$A$2:$I$39,9,0)),0)*(1+N(O125))+N(J125)*IFERROR(IF(VLOOKUP(I125,Materialen!$A$2:$I$39,9,0)="",0,VLOOKUP(I125,Materialen!$A$2:$I$39,9,0)),0)*(1+N(O125))+N(L125)*IFERROR(IF(VLOOKUP(K125,Materialen!$A$2:$I$39,9,0)="",0,VLOOKUP(K125,Materialen!$A$2:$I$39,9,0)),0)+N(N125)*IFERROR(IF(VLOOKUP(M125,Materialen!$A$2:$I$39,9,0)="",0,VLOOKUP(M125,Materialen!$A$2:$I$39,9,0)),0),2)</f>
        <v/>
      </c>
      <c r="Q125" s="5">
        <f>IF(G125="",0,IF(IFERROR(VLOOKUP(G125,Materialen!$A$2:$I$39,5,0),"N")="J",ROUND(N(H125)*(1+N(O125))*Instellingen!$B$8,2),0))</f>
        <v/>
      </c>
      <c r="R125" s="18" t="n"/>
      <c r="S125" s="5">
        <f>ROUND(N(R125)/60*Instellingen!$B$9,2)</f>
        <v/>
      </c>
      <c r="T125" s="14" t="n"/>
      <c r="U125" s="5">
        <f>P125+Q125+S125+N(T125)</f>
        <v/>
      </c>
      <c r="V125" s="5">
        <f>IF(AC125&lt;&gt;"OK","",F125-U125)</f>
        <v/>
      </c>
      <c r="W125" s="6">
        <f>IF(OR(F125=0,AC125&lt;&gt;"OK"),"",V125/F125)</f>
        <v/>
      </c>
      <c r="X125" s="5">
        <f>IF(N(H125)&gt;0,F125/H125,"")</f>
        <v/>
      </c>
      <c r="Y125" s="5">
        <f>IF(N(H125)&gt;0,IFERROR(IF(VLOOKUP(G125,Materialen!$A$2:$I$39,9,0)="",0,VLOOKUP(G125,Materialen!$A$2:$I$39,9,0)),0),"")</f>
        <v/>
      </c>
      <c r="Z125" s="5">
        <f>ROUND(E125*F125,2)</f>
        <v/>
      </c>
      <c r="AA125" s="5">
        <f>IF(AC125&lt;&gt;"OK","",ROUND(E125*U125,2))</f>
        <v/>
      </c>
      <c r="AB125" s="5">
        <f>IF(AC125&lt;&gt;"OK","",Z125-AA125)</f>
        <v/>
      </c>
      <c r="AC125" s="7">
        <f>IF((IF(G125="",0,IF(IFERROR(IF(VLOOKUP(G125,Materialen!$A$2:$I$39,9,0)="",0,VLOOKUP(G125,Materialen!$A$2:$I$39,9,0)),0)=0,1,0))+IF(I125="",0,IF(IFERROR(IF(VLOOKUP(I125,Materialen!$A$2:$I$39,9,0)="",0,VLOOKUP(I125,Materialen!$A$2:$I$39,9,0)),0)=0,1,0))+IF(K125="",0,IF(IFERROR(IF(VLOOKUP(K125,Materialen!$A$2:$I$39,9,0)="",0,VLOOKUP(K125,Materialen!$A$2:$I$39,9,0)),0)=0,1,0))+IF(M125="",0,IF(IFERROR(IF(VLOOKUP(M125,Materialen!$A$2:$I$39,9,0)="",0,VLOOKUP(M125,Materialen!$A$2:$I$39,9,0)),0)=0,1,0)))&gt;0,"aankoopprijs ontbreekt",IF(AND(G125="",K125="",N(T125)=0,N(R125)=0),"kost invullen (arbeid/overig)","OK"))</f>
        <v/>
      </c>
      <c r="AD125" s="7" t="inlineStr">
        <is>
          <t>Wieden/plotten = vooral arbeid</t>
        </is>
      </c>
    </row>
    <row r="126">
      <c r="A126" s="7" t="n">
        <v>125</v>
      </c>
      <c r="B126" s="7" t="inlineStr">
        <is>
          <t>30cm</t>
        </is>
      </c>
      <c r="C126" s="7" t="inlineStr">
        <is>
          <t>&gt; 25 m²</t>
        </is>
      </c>
      <c r="D126" s="7" t="inlineStr">
        <is>
          <t>m²</t>
        </is>
      </c>
      <c r="E126" s="7" t="n">
        <v>5</v>
      </c>
      <c r="F126" s="5" t="n">
        <v>22</v>
      </c>
      <c r="G126" s="7" t="inlineStr">
        <is>
          <t>M41</t>
        </is>
      </c>
      <c r="H126" s="20" t="n">
        <v>1</v>
      </c>
      <c r="I126" s="7" t="inlineStr">
        <is>
          <t>M42</t>
        </is>
      </c>
      <c r="J126" s="20" t="n">
        <v>1</v>
      </c>
      <c r="K126" s="7" t="n"/>
      <c r="L126" s="7" t="n"/>
      <c r="M126" s="7" t="n"/>
      <c r="N126" s="7" t="n"/>
      <c r="O126" s="6">
        <f>IF(G126="","",IF(IFERROR(VLOOKUP(G126,Materialen!$A$2:$I$39,4,0),"")="plaat",Instellingen!$B$4,Instellingen!$B$3))</f>
        <v/>
      </c>
      <c r="P126" s="5">
        <f>ROUND(N(H126)*IFERROR(IF(VLOOKUP(G126,Materialen!$A$2:$I$39,9,0)="",0,VLOOKUP(G126,Materialen!$A$2:$I$39,9,0)),0)*(1+N(O126))+N(J126)*IFERROR(IF(VLOOKUP(I126,Materialen!$A$2:$I$39,9,0)="",0,VLOOKUP(I126,Materialen!$A$2:$I$39,9,0)),0)*(1+N(O126))+N(L126)*IFERROR(IF(VLOOKUP(K126,Materialen!$A$2:$I$39,9,0)="",0,VLOOKUP(K126,Materialen!$A$2:$I$39,9,0)),0)+N(N126)*IFERROR(IF(VLOOKUP(M126,Materialen!$A$2:$I$39,9,0)="",0,VLOOKUP(M126,Materialen!$A$2:$I$39,9,0)),0),2)</f>
        <v/>
      </c>
      <c r="Q126" s="5">
        <f>IF(G126="",0,IF(IFERROR(VLOOKUP(G126,Materialen!$A$2:$I$39,5,0),"N")="J",ROUND(N(H126)*(1+N(O126))*Instellingen!$B$8,2),0))</f>
        <v/>
      </c>
      <c r="R126" s="18" t="n"/>
      <c r="S126" s="5">
        <f>ROUND(N(R126)/60*Instellingen!$B$9,2)</f>
        <v/>
      </c>
      <c r="T126" s="14" t="n"/>
      <c r="U126" s="5">
        <f>P126+Q126+S126+N(T126)</f>
        <v/>
      </c>
      <c r="V126" s="5">
        <f>IF(AC126&lt;&gt;"OK","",F126-U126)</f>
        <v/>
      </c>
      <c r="W126" s="6">
        <f>IF(OR(F126=0,AC126&lt;&gt;"OK"),"",V126/F126)</f>
        <v/>
      </c>
      <c r="X126" s="5">
        <f>IF(N(H126)&gt;0,F126/H126,"")</f>
        <v/>
      </c>
      <c r="Y126" s="5">
        <f>IF(N(H126)&gt;0,IFERROR(IF(VLOOKUP(G126,Materialen!$A$2:$I$39,9,0)="",0,VLOOKUP(G126,Materialen!$A$2:$I$39,9,0)),0),"")</f>
        <v/>
      </c>
      <c r="Z126" s="5">
        <f>ROUND(E126*F126,2)</f>
        <v/>
      </c>
      <c r="AA126" s="5">
        <f>IF(AC126&lt;&gt;"OK","",ROUND(E126*U126,2))</f>
        <v/>
      </c>
      <c r="AB126" s="5">
        <f>IF(AC126&lt;&gt;"OK","",Z126-AA126)</f>
        <v/>
      </c>
      <c r="AC126" s="7">
        <f>IF((IF(G126="",0,IF(IFERROR(IF(VLOOKUP(G126,Materialen!$A$2:$I$39,9,0)="",0,VLOOKUP(G126,Materialen!$A$2:$I$39,9,0)),0)=0,1,0))+IF(I126="",0,IF(IFERROR(IF(VLOOKUP(I126,Materialen!$A$2:$I$39,9,0)="",0,VLOOKUP(I126,Materialen!$A$2:$I$39,9,0)),0)=0,1,0))+IF(K126="",0,IF(IFERROR(IF(VLOOKUP(K126,Materialen!$A$2:$I$39,9,0)="",0,VLOOKUP(K126,Materialen!$A$2:$I$39,9,0)),0)=0,1,0))+IF(M126="",0,IF(IFERROR(IF(VLOOKUP(M126,Materialen!$A$2:$I$39,9,0)="",0,VLOOKUP(M126,Materialen!$A$2:$I$39,9,0)),0)=0,1,0)))&gt;0,"aankoopprijs ontbreekt",IF(AND(G126="",K126="",N(T126)=0,N(R126)=0),"kost invullen (arbeid/overig)","OK"))</f>
        <v/>
      </c>
      <c r="AD126" s="7" t="inlineStr">
        <is>
          <t>Wieden/plotten = vooral arbeid</t>
        </is>
      </c>
    </row>
    <row r="127">
      <c r="A127" s="7" t="n">
        <v>126</v>
      </c>
      <c r="B127" s="7" t="inlineStr">
        <is>
          <t>DOUBLE FACE POUR FIXATION MURALE</t>
        </is>
      </c>
      <c r="C127" s="7" t="inlineStr">
        <is>
          <t>double face pour fixation au mur</t>
        </is>
      </c>
      <c r="D127" s="7" t="inlineStr">
        <is>
          <t>pièce</t>
        </is>
      </c>
      <c r="E127" s="7" t="n">
        <v>10</v>
      </c>
      <c r="F127" s="5" t="n">
        <v>2.4</v>
      </c>
      <c r="G127" s="7" t="n"/>
      <c r="H127" s="20" t="n"/>
      <c r="I127" s="7" t="n"/>
      <c r="J127" s="20" t="n"/>
      <c r="K127" s="7" t="inlineStr">
        <is>
          <t>M43</t>
        </is>
      </c>
      <c r="L127" s="7" t="n">
        <v>1</v>
      </c>
      <c r="M127" s="7" t="n"/>
      <c r="N127" s="7" t="n"/>
      <c r="O127" s="6">
        <f>IF(G127="","",IF(IFERROR(VLOOKUP(G127,Materialen!$A$2:$I$39,4,0),"")="plaat",Instellingen!$B$4,Instellingen!$B$3))</f>
        <v/>
      </c>
      <c r="P127" s="5">
        <f>ROUND(N(H127)*IFERROR(IF(VLOOKUP(G127,Materialen!$A$2:$I$39,9,0)="",0,VLOOKUP(G127,Materialen!$A$2:$I$39,9,0)),0)*(1+N(O127))+N(J127)*IFERROR(IF(VLOOKUP(I127,Materialen!$A$2:$I$39,9,0)="",0,VLOOKUP(I127,Materialen!$A$2:$I$39,9,0)),0)*(1+N(O127))+N(L127)*IFERROR(IF(VLOOKUP(K127,Materialen!$A$2:$I$39,9,0)="",0,VLOOKUP(K127,Materialen!$A$2:$I$39,9,0)),0)+N(N127)*IFERROR(IF(VLOOKUP(M127,Materialen!$A$2:$I$39,9,0)="",0,VLOOKUP(M127,Materialen!$A$2:$I$39,9,0)),0),2)</f>
        <v/>
      </c>
      <c r="Q127" s="5">
        <f>IF(G127="",0,IF(IFERROR(VLOOKUP(G127,Materialen!$A$2:$I$39,5,0),"N")="J",ROUND(N(H127)*(1+N(O127))*Instellingen!$B$8,2),0))</f>
        <v/>
      </c>
      <c r="R127" s="18" t="n"/>
      <c r="S127" s="5">
        <f>ROUND(N(R127)/60*Instellingen!$B$9,2)</f>
        <v/>
      </c>
      <c r="T127" s="14" t="n"/>
      <c r="U127" s="5">
        <f>P127+Q127+S127+N(T127)</f>
        <v/>
      </c>
      <c r="V127" s="5">
        <f>IF(AC127&lt;&gt;"OK","",F127-U127)</f>
        <v/>
      </c>
      <c r="W127" s="6">
        <f>IF(OR(F127=0,AC127&lt;&gt;"OK"),"",V127/F127)</f>
        <v/>
      </c>
      <c r="X127" s="5">
        <f>IF(N(H127)&gt;0,F127/H127,"")</f>
        <v/>
      </c>
      <c r="Y127" s="5">
        <f>IF(N(H127)&gt;0,IFERROR(IF(VLOOKUP(G127,Materialen!$A$2:$I$39,9,0)="",0,VLOOKUP(G127,Materialen!$A$2:$I$39,9,0)),0),"")</f>
        <v/>
      </c>
      <c r="Z127" s="5">
        <f>ROUND(E127*F127,2)</f>
        <v/>
      </c>
      <c r="AA127" s="5">
        <f>IF(AC127&lt;&gt;"OK","",ROUND(E127*U127,2))</f>
        <v/>
      </c>
      <c r="AB127" s="5">
        <f>IF(AC127&lt;&gt;"OK","",Z127-AA127)</f>
        <v/>
      </c>
      <c r="AC127" s="7">
        <f>IF((IF(G127="",0,IF(IFERROR(IF(VLOOKUP(G127,Materialen!$A$2:$I$39,9,0)="",0,VLOOKUP(G127,Materialen!$A$2:$I$39,9,0)),0)=0,1,0))+IF(I127="",0,IF(IFERROR(IF(VLOOKUP(I127,Materialen!$A$2:$I$39,9,0)="",0,VLOOKUP(I127,Materialen!$A$2:$I$39,9,0)),0)=0,1,0))+IF(K127="",0,IF(IFERROR(IF(VLOOKUP(K127,Materialen!$A$2:$I$39,9,0)="",0,VLOOKUP(K127,Materialen!$A$2:$I$39,9,0)),0)=0,1,0))+IF(M127="",0,IF(IFERROR(IF(VLOOKUP(M127,Materialen!$A$2:$I$39,9,0)="",0,VLOOKUP(M127,Materialen!$A$2:$I$39,9,0)),0)=0,1,0)))&gt;0,"aankoopprijs ontbreekt",IF(AND(G127="",K127="",N(T127)=0,N(R127)=0),"kost invullen (arbeid/overig)","OK"))</f>
        <v/>
      </c>
      <c r="AD127" s="7" t="inlineStr">
        <is>
          <t>1 lopende meter</t>
        </is>
      </c>
    </row>
    <row r="128">
      <c r="A128" s="7" t="n">
        <v>127</v>
      </c>
      <c r="B128" s="7" t="inlineStr">
        <is>
          <t>DOUBLE FACE POUR FIXATION MURALE</t>
        </is>
      </c>
      <c r="C128" s="7" t="inlineStr">
        <is>
          <t>Système de fixation de panneaux avec réglettes métalliques fixées en U</t>
        </is>
      </c>
      <c r="D128" s="7" t="inlineStr">
        <is>
          <t>par 10</t>
        </is>
      </c>
      <c r="E128" s="7" t="n">
        <v>50</v>
      </c>
      <c r="F128" s="5" t="n">
        <v>38</v>
      </c>
      <c r="G128" s="7" t="n"/>
      <c r="H128" s="20" t="n"/>
      <c r="I128" s="7" t="n"/>
      <c r="J128" s="20" t="n"/>
      <c r="K128" s="7" t="inlineStr">
        <is>
          <t>M44</t>
        </is>
      </c>
      <c r="L128" s="7" t="n">
        <v>10</v>
      </c>
      <c r="M128" s="7" t="n"/>
      <c r="N128" s="7" t="n"/>
      <c r="O128" s="6">
        <f>IF(G128="","",IF(IFERROR(VLOOKUP(G128,Materialen!$A$2:$I$39,4,0),"")="plaat",Instellingen!$B$4,Instellingen!$B$3))</f>
        <v/>
      </c>
      <c r="P128" s="5">
        <f>ROUND(N(H128)*IFERROR(IF(VLOOKUP(G128,Materialen!$A$2:$I$39,9,0)="",0,VLOOKUP(G128,Materialen!$A$2:$I$39,9,0)),0)*(1+N(O128))+N(J128)*IFERROR(IF(VLOOKUP(I128,Materialen!$A$2:$I$39,9,0)="",0,VLOOKUP(I128,Materialen!$A$2:$I$39,9,0)),0)*(1+N(O128))+N(L128)*IFERROR(IF(VLOOKUP(K128,Materialen!$A$2:$I$39,9,0)="",0,VLOOKUP(K128,Materialen!$A$2:$I$39,9,0)),0)+N(N128)*IFERROR(IF(VLOOKUP(M128,Materialen!$A$2:$I$39,9,0)="",0,VLOOKUP(M128,Materialen!$A$2:$I$39,9,0)),0),2)</f>
        <v/>
      </c>
      <c r="Q128" s="5">
        <f>IF(G128="",0,IF(IFERROR(VLOOKUP(G128,Materialen!$A$2:$I$39,5,0),"N")="J",ROUND(N(H128)*(1+N(O128))*Instellingen!$B$8,2),0))</f>
        <v/>
      </c>
      <c r="R128" s="18" t="n"/>
      <c r="S128" s="5">
        <f>ROUND(N(R128)/60*Instellingen!$B$9,2)</f>
        <v/>
      </c>
      <c r="T128" s="14" t="n"/>
      <c r="U128" s="5">
        <f>P128+Q128+S128+N(T128)</f>
        <v/>
      </c>
      <c r="V128" s="5">
        <f>IF(AC128&lt;&gt;"OK","",F128-U128)</f>
        <v/>
      </c>
      <c r="W128" s="6">
        <f>IF(OR(F128=0,AC128&lt;&gt;"OK"),"",V128/F128)</f>
        <v/>
      </c>
      <c r="X128" s="5">
        <f>IF(N(H128)&gt;0,F128/H128,"")</f>
        <v/>
      </c>
      <c r="Y128" s="5">
        <f>IF(N(H128)&gt;0,IFERROR(IF(VLOOKUP(G128,Materialen!$A$2:$I$39,9,0)="",0,VLOOKUP(G128,Materialen!$A$2:$I$39,9,0)),0),"")</f>
        <v/>
      </c>
      <c r="Z128" s="5">
        <f>ROUND(E128*F128,2)</f>
        <v/>
      </c>
      <c r="AA128" s="5">
        <f>IF(AC128&lt;&gt;"OK","",ROUND(E128*U128,2))</f>
        <v/>
      </c>
      <c r="AB128" s="5">
        <f>IF(AC128&lt;&gt;"OK","",Z128-AA128)</f>
        <v/>
      </c>
      <c r="AC128" s="7">
        <f>IF((IF(G128="",0,IF(IFERROR(IF(VLOOKUP(G128,Materialen!$A$2:$I$39,9,0)="",0,VLOOKUP(G128,Materialen!$A$2:$I$39,9,0)),0)=0,1,0))+IF(I128="",0,IF(IFERROR(IF(VLOOKUP(I128,Materialen!$A$2:$I$39,9,0)="",0,VLOOKUP(I128,Materialen!$A$2:$I$39,9,0)),0)=0,1,0))+IF(K128="",0,IF(IFERROR(IF(VLOOKUP(K128,Materialen!$A$2:$I$39,9,0)="",0,VLOOKUP(K128,Materialen!$A$2:$I$39,9,0)),0)=0,1,0))+IF(M128="",0,IF(IFERROR(IF(VLOOKUP(M128,Materialen!$A$2:$I$39,9,0)="",0,VLOOKUP(M128,Materialen!$A$2:$I$39,9,0)),0)=0,1,0)))&gt;0,"aankoopprijs ontbreekt",IF(AND(G128="",K128="",N(T128)=0,N(R128)=0),"kost invullen (arbeid/overig)","OK"))</f>
        <v/>
      </c>
      <c r="AD128" s="7" t="inlineStr">
        <is>
          <t>Eenheid = 10 stuks</t>
        </is>
      </c>
    </row>
    <row r="129">
      <c r="A129" s="7" t="n">
        <v>128</v>
      </c>
      <c r="B129" s="7" t="inlineStr">
        <is>
          <t>PLACEMENT EVENTUEL</t>
        </is>
      </c>
      <c r="C129" s="7" t="inlineStr">
        <is>
          <t>frais de déplacement aller-retour</t>
        </is>
      </c>
      <c r="D129" s="7" t="inlineStr">
        <is>
          <t>forfait</t>
        </is>
      </c>
      <c r="E129" s="7" t="n">
        <v>1</v>
      </c>
      <c r="F129" s="5" t="n">
        <v>45</v>
      </c>
      <c r="G129" s="7" t="n"/>
      <c r="H129" s="20" t="n"/>
      <c r="I129" s="7" t="n"/>
      <c r="J129" s="20" t="n"/>
      <c r="K129" s="7" t="n"/>
      <c r="L129" s="7" t="n"/>
      <c r="M129" s="7" t="n"/>
      <c r="N129" s="7" t="n"/>
      <c r="O129" s="6">
        <f>IF(G129="","",IF(IFERROR(VLOOKUP(G129,Materialen!$A$2:$I$39,4,0),"")="plaat",Instellingen!$B$4,Instellingen!$B$3))</f>
        <v/>
      </c>
      <c r="P129" s="5">
        <f>ROUND(N(H129)*IFERROR(IF(VLOOKUP(G129,Materialen!$A$2:$I$39,9,0)="",0,VLOOKUP(G129,Materialen!$A$2:$I$39,9,0)),0)*(1+N(O129))+N(J129)*IFERROR(IF(VLOOKUP(I129,Materialen!$A$2:$I$39,9,0)="",0,VLOOKUP(I129,Materialen!$A$2:$I$39,9,0)),0)*(1+N(O129))+N(L129)*IFERROR(IF(VLOOKUP(K129,Materialen!$A$2:$I$39,9,0)="",0,VLOOKUP(K129,Materialen!$A$2:$I$39,9,0)),0)+N(N129)*IFERROR(IF(VLOOKUP(M129,Materialen!$A$2:$I$39,9,0)="",0,VLOOKUP(M129,Materialen!$A$2:$I$39,9,0)),0),2)</f>
        <v/>
      </c>
      <c r="Q129" s="5">
        <f>IF(G129="",0,IF(IFERROR(VLOOKUP(G129,Materialen!$A$2:$I$39,5,0),"N")="J",ROUND(N(H129)*(1+N(O129))*Instellingen!$B$8,2),0))</f>
        <v/>
      </c>
      <c r="R129" s="18" t="n"/>
      <c r="S129" s="5">
        <f>ROUND(N(R129)/60*Instellingen!$B$9,2)</f>
        <v/>
      </c>
      <c r="T129" s="14" t="n"/>
      <c r="U129" s="5">
        <f>P129+Q129+S129+N(T129)</f>
        <v/>
      </c>
      <c r="V129" s="5">
        <f>IF(AC129&lt;&gt;"OK","",F129-U129)</f>
        <v/>
      </c>
      <c r="W129" s="6">
        <f>IF(OR(F129=0,AC129&lt;&gt;"OK"),"",V129/F129)</f>
        <v/>
      </c>
      <c r="X129" s="5">
        <f>IF(N(H129)&gt;0,F129/H129,"")</f>
        <v/>
      </c>
      <c r="Y129" s="5">
        <f>IF(N(H129)&gt;0,IFERROR(IF(VLOOKUP(G129,Materialen!$A$2:$I$39,9,0)="",0,VLOOKUP(G129,Materialen!$A$2:$I$39,9,0)),0),"")</f>
        <v/>
      </c>
      <c r="Z129" s="5">
        <f>ROUND(E129*F129,2)</f>
        <v/>
      </c>
      <c r="AA129" s="5">
        <f>IF(AC129&lt;&gt;"OK","",ROUND(E129*U129,2))</f>
        <v/>
      </c>
      <c r="AB129" s="5">
        <f>IF(AC129&lt;&gt;"OK","",Z129-AA129)</f>
        <v/>
      </c>
      <c r="AC129" s="7">
        <f>IF((IF(G129="",0,IF(IFERROR(IF(VLOOKUP(G129,Materialen!$A$2:$I$39,9,0)="",0,VLOOKUP(G129,Materialen!$A$2:$I$39,9,0)),0)=0,1,0))+IF(I129="",0,IF(IFERROR(IF(VLOOKUP(I129,Materialen!$A$2:$I$39,9,0)="",0,VLOOKUP(I129,Materialen!$A$2:$I$39,9,0)),0)=0,1,0))+IF(K129="",0,IF(IFERROR(IF(VLOOKUP(K129,Materialen!$A$2:$I$39,9,0)="",0,VLOOKUP(K129,Materialen!$A$2:$I$39,9,0)),0)=0,1,0))+IF(M129="",0,IF(IFERROR(IF(VLOOKUP(M129,Materialen!$A$2:$I$39,9,0)="",0,VLOOKUP(M129,Materialen!$A$2:$I$39,9,0)),0)=0,1,0)))&gt;0,"aankoopprijs ontbreekt",IF(AND(G129="",K129="",N(T129)=0,N(R129)=0),"kost invullen (arbeid/overig)","OK"))</f>
        <v/>
      </c>
      <c r="AD129" s="7" t="inlineStr">
        <is>
          <t>Verplaatsing</t>
        </is>
      </c>
    </row>
    <row r="130">
      <c r="A130" s="7" t="n">
        <v>129</v>
      </c>
      <c r="B130" s="7" t="inlineStr">
        <is>
          <t>PLACEMENT EVENTUEL</t>
        </is>
      </c>
      <c r="C130" s="7" t="inlineStr">
        <is>
          <t>tarif horaire</t>
        </is>
      </c>
      <c r="D130" s="7" t="inlineStr">
        <is>
          <t>heure</t>
        </is>
      </c>
      <c r="E130" s="7" t="n">
        <v>1</v>
      </c>
      <c r="F130" s="5" t="n">
        <v>48</v>
      </c>
      <c r="G130" s="7" t="n"/>
      <c r="H130" s="20" t="n"/>
      <c r="I130" s="7" t="n"/>
      <c r="J130" s="20" t="n"/>
      <c r="K130" s="7" t="n"/>
      <c r="L130" s="7" t="n"/>
      <c r="M130" s="7" t="n"/>
      <c r="N130" s="7" t="n"/>
      <c r="O130" s="6">
        <f>IF(G130="","",IF(IFERROR(VLOOKUP(G130,Materialen!$A$2:$I$39,4,0),"")="plaat",Instellingen!$B$4,Instellingen!$B$3))</f>
        <v/>
      </c>
      <c r="P130" s="5">
        <f>ROUND(N(H130)*IFERROR(IF(VLOOKUP(G130,Materialen!$A$2:$I$39,9,0)="",0,VLOOKUP(G130,Materialen!$A$2:$I$39,9,0)),0)*(1+N(O130))+N(J130)*IFERROR(IF(VLOOKUP(I130,Materialen!$A$2:$I$39,9,0)="",0,VLOOKUP(I130,Materialen!$A$2:$I$39,9,0)),0)*(1+N(O130))+N(L130)*IFERROR(IF(VLOOKUP(K130,Materialen!$A$2:$I$39,9,0)="",0,VLOOKUP(K130,Materialen!$A$2:$I$39,9,0)),0)+N(N130)*IFERROR(IF(VLOOKUP(M130,Materialen!$A$2:$I$39,9,0)="",0,VLOOKUP(M130,Materialen!$A$2:$I$39,9,0)),0),2)</f>
        <v/>
      </c>
      <c r="Q130" s="5">
        <f>IF(G130="",0,IF(IFERROR(VLOOKUP(G130,Materialen!$A$2:$I$39,5,0),"N")="J",ROUND(N(H130)*(1+N(O130))*Instellingen!$B$8,2),0))</f>
        <v/>
      </c>
      <c r="R130" s="18" t="n"/>
      <c r="S130" s="5">
        <f>ROUND(N(R130)/60*Instellingen!$B$9,2)</f>
        <v/>
      </c>
      <c r="T130" s="14" t="n"/>
      <c r="U130" s="5">
        <f>P130+Q130+S130+N(T130)</f>
        <v/>
      </c>
      <c r="V130" s="5">
        <f>IF(AC130&lt;&gt;"OK","",F130-U130)</f>
        <v/>
      </c>
      <c r="W130" s="6">
        <f>IF(OR(F130=0,AC130&lt;&gt;"OK"),"",V130/F130)</f>
        <v/>
      </c>
      <c r="X130" s="5">
        <f>IF(N(H130)&gt;0,F130/H130,"")</f>
        <v/>
      </c>
      <c r="Y130" s="5">
        <f>IF(N(H130)&gt;0,IFERROR(IF(VLOOKUP(G130,Materialen!$A$2:$I$39,9,0)="",0,VLOOKUP(G130,Materialen!$A$2:$I$39,9,0)),0),"")</f>
        <v/>
      </c>
      <c r="Z130" s="5">
        <f>ROUND(E130*F130,2)</f>
        <v/>
      </c>
      <c r="AA130" s="5">
        <f>IF(AC130&lt;&gt;"OK","",ROUND(E130*U130,2))</f>
        <v/>
      </c>
      <c r="AB130" s="5">
        <f>IF(AC130&lt;&gt;"OK","",Z130-AA130)</f>
        <v/>
      </c>
      <c r="AC130" s="7">
        <f>IF((IF(G130="",0,IF(IFERROR(IF(VLOOKUP(G130,Materialen!$A$2:$I$39,9,0)="",0,VLOOKUP(G130,Materialen!$A$2:$I$39,9,0)),0)=0,1,0))+IF(I130="",0,IF(IFERROR(IF(VLOOKUP(I130,Materialen!$A$2:$I$39,9,0)="",0,VLOOKUP(I130,Materialen!$A$2:$I$39,9,0)),0)=0,1,0))+IF(K130="",0,IF(IFERROR(IF(VLOOKUP(K130,Materialen!$A$2:$I$39,9,0)="",0,VLOOKUP(K130,Materialen!$A$2:$I$39,9,0)),0)=0,1,0))+IF(M130="",0,IF(IFERROR(IF(VLOOKUP(M130,Materialen!$A$2:$I$39,9,0)="",0,VLOOKUP(M130,Materialen!$A$2:$I$39,9,0)),0)=0,1,0)))&gt;0,"aankoopprijs ontbreekt",IF(AND(G130="",K130="",N(T130)=0,N(R130)=0),"kost invullen (arbeid/overig)","OK"))</f>
        <v/>
      </c>
      <c r="AD130" s="7" t="inlineStr">
        <is>
          <t>Arbeid</t>
        </is>
      </c>
    </row>
    <row r="131">
      <c r="A131" s="7" t="n">
        <v>130</v>
      </c>
      <c r="B131" s="7" t="inlineStr">
        <is>
          <t>LIVRAISON</t>
        </is>
      </c>
      <c r="C131" s="7" t="inlineStr">
        <is>
          <t>frais de livraison aller-retour (maximum)</t>
        </is>
      </c>
      <c r="D131" s="7" t="inlineStr">
        <is>
          <t>Forfait</t>
        </is>
      </c>
      <c r="E131" s="7" t="n">
        <v>1</v>
      </c>
      <c r="F131" s="5" t="n">
        <v>35</v>
      </c>
      <c r="G131" s="7" t="n"/>
      <c r="H131" s="20" t="n"/>
      <c r="I131" s="7" t="n"/>
      <c r="J131" s="20" t="n"/>
      <c r="K131" s="7" t="n"/>
      <c r="L131" s="7" t="n"/>
      <c r="M131" s="7" t="n"/>
      <c r="N131" s="7" t="n"/>
      <c r="O131" s="6">
        <f>IF(G131="","",IF(IFERROR(VLOOKUP(G131,Materialen!$A$2:$I$39,4,0),"")="plaat",Instellingen!$B$4,Instellingen!$B$3))</f>
        <v/>
      </c>
      <c r="P131" s="5">
        <f>ROUND(N(H131)*IFERROR(IF(VLOOKUP(G131,Materialen!$A$2:$I$39,9,0)="",0,VLOOKUP(G131,Materialen!$A$2:$I$39,9,0)),0)*(1+N(O131))+N(J131)*IFERROR(IF(VLOOKUP(I131,Materialen!$A$2:$I$39,9,0)="",0,VLOOKUP(I131,Materialen!$A$2:$I$39,9,0)),0)*(1+N(O131))+N(L131)*IFERROR(IF(VLOOKUP(K131,Materialen!$A$2:$I$39,9,0)="",0,VLOOKUP(K131,Materialen!$A$2:$I$39,9,0)),0)+N(N131)*IFERROR(IF(VLOOKUP(M131,Materialen!$A$2:$I$39,9,0)="",0,VLOOKUP(M131,Materialen!$A$2:$I$39,9,0)),0),2)</f>
        <v/>
      </c>
      <c r="Q131" s="5">
        <f>IF(G131="",0,IF(IFERROR(VLOOKUP(G131,Materialen!$A$2:$I$39,5,0),"N")="J",ROUND(N(H131)*(1+N(O131))*Instellingen!$B$8,2),0))</f>
        <v/>
      </c>
      <c r="R131" s="18" t="n"/>
      <c r="S131" s="5">
        <f>ROUND(N(R131)/60*Instellingen!$B$9,2)</f>
        <v/>
      </c>
      <c r="T131" s="14" t="n"/>
      <c r="U131" s="5">
        <f>P131+Q131+S131+N(T131)</f>
        <v/>
      </c>
      <c r="V131" s="5">
        <f>IF(AC131&lt;&gt;"OK","",F131-U131)</f>
        <v/>
      </c>
      <c r="W131" s="6">
        <f>IF(OR(F131=0,AC131&lt;&gt;"OK"),"",V131/F131)</f>
        <v/>
      </c>
      <c r="X131" s="5">
        <f>IF(N(H131)&gt;0,F131/H131,"")</f>
        <v/>
      </c>
      <c r="Y131" s="5">
        <f>IF(N(H131)&gt;0,IFERROR(IF(VLOOKUP(G131,Materialen!$A$2:$I$39,9,0)="",0,VLOOKUP(G131,Materialen!$A$2:$I$39,9,0)),0),"")</f>
        <v/>
      </c>
      <c r="Z131" s="5">
        <f>ROUND(E131*F131,2)</f>
        <v/>
      </c>
      <c r="AA131" s="5">
        <f>IF(AC131&lt;&gt;"OK","",ROUND(E131*U131,2))</f>
        <v/>
      </c>
      <c r="AB131" s="5">
        <f>IF(AC131&lt;&gt;"OK","",Z131-AA131)</f>
        <v/>
      </c>
      <c r="AC131" s="7">
        <f>IF((IF(G131="",0,IF(IFERROR(IF(VLOOKUP(G131,Materialen!$A$2:$I$39,9,0)="",0,VLOOKUP(G131,Materialen!$A$2:$I$39,9,0)),0)=0,1,0))+IF(I131="",0,IF(IFERROR(IF(VLOOKUP(I131,Materialen!$A$2:$I$39,9,0)="",0,VLOOKUP(I131,Materialen!$A$2:$I$39,9,0)),0)=0,1,0))+IF(K131="",0,IF(IFERROR(IF(VLOOKUP(K131,Materialen!$A$2:$I$39,9,0)="",0,VLOOKUP(K131,Materialen!$A$2:$I$39,9,0)),0)=0,1,0))+IF(M131="",0,IF(IFERROR(IF(VLOOKUP(M131,Materialen!$A$2:$I$39,9,0)="",0,VLOOKUP(M131,Materialen!$A$2:$I$39,9,0)),0)=0,1,0)))&gt;0,"aankoopprijs ontbreekt",IF(AND(G131="",K131="",N(T131)=0,N(R131)=0),"kost invullen (arbeid/overig)","OK"))</f>
        <v/>
      </c>
      <c r="AD131" s="7" t="inlineStr">
        <is>
          <t>Leveringskost</t>
        </is>
      </c>
    </row>
    <row r="132">
      <c r="W132" s="21" t="inlineStr">
        <is>
          <t>Marge % (volledige posten)</t>
        </is>
      </c>
      <c r="Y132" s="21" t="inlineStr">
        <is>
          <t>Verkoop posten met volledige kost</t>
        </is>
      </c>
    </row>
    <row r="133">
      <c r="C133" s="10" t="inlineStr">
        <is>
          <t>TOTAAL</t>
        </is>
      </c>
      <c r="W133" s="22">
        <f>IF(Y133=0,"",AB133/Y133)</f>
        <v/>
      </c>
      <c r="Y133" s="23">
        <f>SUMIF(AC2:AC131,"OK",Z2:Z131)</f>
        <v/>
      </c>
      <c r="Z133" s="23">
        <f>SUM(Z2:Z131)</f>
        <v/>
      </c>
      <c r="AA133" s="23">
        <f>SUM(AA2:AA131)</f>
        <v/>
      </c>
      <c r="AB133" s="23">
        <f>SUM(AB2:AB131)</f>
        <v/>
      </c>
    </row>
    <row r="134">
      <c r="C134" t="inlineStr">
        <is>
          <t>Posten met ontbrekende aankoopprijs</t>
        </is>
      </c>
      <c r="AC134">
        <f>COUNTIF(AC2:AC131,"aankoopprijs ontbreekt")</f>
        <v/>
      </c>
    </row>
    <row r="135">
      <c r="C135" s="2" t="inlineStr">
        <is>
          <t>Let op: de totale marge is pas betrouwbaar als 'Controle' overal OK toont.</t>
        </is>
      </c>
    </row>
  </sheetData>
  <conditionalFormatting sqref="W2:W131">
    <cfRule type="expression" priority="1" dxfId="0">
      <formula>AND(W2&lt;&gt;"",W2&lt;Instellingen!$B$10)</formula>
    </cfRule>
    <cfRule type="expression" priority="2" dxfId="1">
      <formula>AND(W2&lt;&gt;"",W2&gt;=Instellingen!$B$10,W2&lt;Instellingen!$B$10+0.15)</formula>
    </cfRule>
    <cfRule type="expression" priority="3" dxfId="2">
      <formula>AND(W2&lt;&gt;"",W2&gt;=Instellingen!$B$10+0.15)</formula>
    </cfRule>
  </conditionalFormatting>
  <conditionalFormatting sqref="AC2:AC131">
    <cfRule type="expression" priority="4" dxfId="3">
      <formula>AC2&lt;&gt;"OK"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2026-10-25T10:13:09Z</dcterms:created>
  <dcterms:modified xmlns:dcterms="http://purl.org/dc/terms/" xmlns:xsi="http://www.w3.org/2001/XMLSchema-instance" xsi:type="dcterms:W3CDTF">2026-10-25T10:13:09Z</dcterms:modified>
</cp:coreProperties>
</file>