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lockStructure="1"/>
  <bookViews>
    <workbookView visibility="visible" minimized="0" showHorizontalScroll="1" showVerticalScroll="1" showSheetTabs="1" xWindow="-108" yWindow="-108" windowWidth="23256" windowHeight="12720" tabRatio="600" firstSheet="0" activeTab="1" autoFilterDateGrouping="1"/>
  </bookViews>
  <sheets>
    <sheet xmlns:r="http://schemas.openxmlformats.org/officeDocument/2006/relationships" name="Aperçu Offre" sheetId="1" state="visible" r:id="rId1"/>
    <sheet xmlns:r="http://schemas.openxmlformats.org/officeDocument/2006/relationships" name="Postes" sheetId="2" state="visible" r:id="rId2"/>
    <sheet xmlns:r="http://schemas.openxmlformats.org/officeDocument/2006/relationships" name="Omissions" sheetId="3" state="hidden" r:id="rId3"/>
    <sheet xmlns:r="http://schemas.openxmlformats.org/officeDocument/2006/relationships" name="3P" sheetId="4" state="visible" r:id="rId4"/>
    <sheet xmlns:r="http://schemas.openxmlformats.org/officeDocument/2006/relationships" name="Légende" sheetId="5" state="visible" r:id="rId5"/>
  </sheets>
  <definedNames>
    <definedName name="_xlnm.Print_Titles" localSheetId="1">'Postes'!$4:$4</definedName>
  </definedNames>
  <calcPr calcId="191029" fullCalcOnLoad="1"/>
</workbook>
</file>

<file path=xl/styles.xml><?xml version="1.0" encoding="utf-8"?>
<styleSheet xmlns="http://schemas.openxmlformats.org/spreadsheetml/2006/main">
  <numFmts count="7">
    <numFmt numFmtId="164" formatCode="&quot;€&quot;\ #,##0.00000"/>
    <numFmt numFmtId="165" formatCode="&quot;€&quot;\ #,##0.00"/>
    <numFmt numFmtId="166" formatCode="_-\€\ #,##0.00;[Red]_-\€\ \-#,##0.00"/>
    <numFmt numFmtId="167" formatCode="0\ %"/>
    <numFmt numFmtId="168" formatCode="_-&quot;€&quot;\ #,##0.00;[Red]_-&quot;€&quot;\ \-#,##0.00"/>
    <numFmt numFmtId="169" formatCode="_-* #,##0.00\ _€_-;\-* #,##0.00\ _€_-;_-* &quot;-&quot;??\ _€_-;_-@_-"/>
    <numFmt numFmtId="170" formatCode="_-* #,##0\ _€_-;\-* #,##0\ _€_-;_-* &quot;-&quot;\ _€_-;_-@_-"/>
  </numFmts>
  <fonts count="33">
    <font>
      <name val="Arial"/>
      <sz val="10"/>
    </font>
    <font>
      <name val="Verdana"/>
      <family val="2"/>
      <b val="1"/>
      <sz val="16"/>
    </font>
    <font>
      <name val="Verdana"/>
      <family val="2"/>
      <sz val="10"/>
    </font>
    <font>
      <name val="Verdana"/>
      <family val="2"/>
      <b val="1"/>
      <sz val="10"/>
    </font>
    <font>
      <name val="Verdana"/>
      <family val="2"/>
      <i val="1"/>
      <sz val="10"/>
    </font>
    <font>
      <name val="Verdana"/>
      <family val="2"/>
      <b val="1"/>
      <sz val="8"/>
    </font>
    <font>
      <name val="Verdana"/>
      <family val="2"/>
      <sz val="8"/>
    </font>
    <font>
      <name val="Verdana"/>
      <family val="2"/>
      <i val="1"/>
      <sz val="8"/>
    </font>
    <font>
      <name val="Verdana"/>
      <family val="2"/>
      <i val="1"/>
      <color indexed="9"/>
      <sz val="8"/>
    </font>
    <font>
      <name val="Verdana"/>
      <family val="2"/>
      <b val="1"/>
      <color indexed="9"/>
      <sz val="8"/>
    </font>
    <font>
      <name val="Arial"/>
      <family val="2"/>
      <b val="1"/>
      <sz val="10"/>
    </font>
    <font>
      <name val="Calibri"/>
      <family val="2"/>
      <color theme="1"/>
      <sz val="11"/>
      <scheme val="minor"/>
    </font>
    <font>
      <name val="Calibri"/>
      <family val="2"/>
      <color theme="0"/>
      <sz val="11"/>
      <scheme val="minor"/>
    </font>
    <font>
      <name val="Calibri"/>
      <family val="2"/>
      <color rgb="FFFF0000"/>
      <sz val="11"/>
      <scheme val="minor"/>
    </font>
    <font>
      <name val="Calibri"/>
      <family val="2"/>
      <b val="1"/>
      <color rgb="FFFA7D00"/>
      <sz val="11"/>
      <scheme val="minor"/>
    </font>
    <font>
      <name val="Calibri"/>
      <family val="2"/>
      <color rgb="FFFA7D00"/>
      <sz val="11"/>
      <scheme val="minor"/>
    </font>
    <font>
      <name val="Calibri"/>
      <family val="2"/>
      <color rgb="FF3F3F76"/>
      <sz val="11"/>
      <scheme val="minor"/>
    </font>
    <font>
      <name val="Calibri"/>
      <family val="2"/>
      <color rgb="FF9C0006"/>
      <sz val="11"/>
      <scheme val="minor"/>
    </font>
    <font>
      <name val="Calibri"/>
      <family val="2"/>
      <color rgb="FF9C6500"/>
      <sz val="11"/>
      <scheme val="minor"/>
    </font>
    <font>
      <name val="Calibri"/>
      <family val="2"/>
      <color rgb="FF006100"/>
      <sz val="11"/>
      <scheme val="minor"/>
    </font>
    <font>
      <name val="Calibri"/>
      <family val="2"/>
      <b val="1"/>
      <color rgb="FF3F3F3F"/>
      <sz val="11"/>
      <scheme val="minor"/>
    </font>
    <font>
      <name val="Calibri"/>
      <family val="2"/>
      <i val="1"/>
      <color rgb="FF7F7F7F"/>
      <sz val="11"/>
      <scheme val="minor"/>
    </font>
    <font>
      <name val="Cambria"/>
      <family val="2"/>
      <b val="1"/>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theme="1"/>
      <sz val="11"/>
      <scheme val="minor"/>
    </font>
    <font>
      <name val="Calibri"/>
      <family val="2"/>
      <b val="1"/>
      <color theme="0"/>
      <sz val="11"/>
      <scheme val="minor"/>
    </font>
    <font>
      <name val="Verdana"/>
      <family val="2"/>
      <color rgb="FF0000FF"/>
      <sz val="8"/>
    </font>
    <font>
      <name val="Verdana"/>
      <family val="2"/>
      <b val="1"/>
      <color rgb="FF0000FF"/>
      <sz val="8"/>
    </font>
    <font>
      <name val="Verdana"/>
      <family val="2"/>
      <b val="1"/>
      <color rgb="FF0000FF"/>
      <sz val="10"/>
    </font>
    <font>
      <name val="Arial"/>
      <sz val="10"/>
    </font>
    <font>
      <name val="Arial"/>
      <family val="2"/>
      <sz val="10"/>
    </font>
  </fonts>
  <fills count="36">
    <fill>
      <patternFill/>
    </fill>
    <fill>
      <patternFill patternType="gray125"/>
    </fill>
    <fill>
      <patternFill patternType="solid">
        <fgColor theme="4" tint="0.7999511703848384"/>
        <bgColor indexed="64"/>
      </patternFill>
    </fill>
    <fill>
      <patternFill patternType="solid">
        <fgColor theme="5" tint="0.7999511703848384"/>
        <bgColor indexed="64"/>
      </patternFill>
    </fill>
    <fill>
      <patternFill patternType="solid">
        <fgColor theme="6" tint="0.7999511703848384"/>
        <bgColor indexed="64"/>
      </patternFill>
    </fill>
    <fill>
      <patternFill patternType="solid">
        <fgColor theme="7" tint="0.7999511703848384"/>
        <bgColor indexed="64"/>
      </patternFill>
    </fill>
    <fill>
      <patternFill patternType="solid">
        <fgColor theme="8" tint="0.7999511703848384"/>
        <bgColor indexed="64"/>
      </patternFill>
    </fill>
    <fill>
      <patternFill patternType="solid">
        <fgColor theme="9" tint="0.7999511703848384"/>
        <bgColor indexed="64"/>
      </patternFill>
    </fill>
    <fill>
      <patternFill patternType="solid">
        <fgColor theme="4" tint="0.5999633777886288"/>
        <bgColor indexed="64"/>
      </patternFill>
    </fill>
    <fill>
      <patternFill patternType="solid">
        <fgColor theme="5" tint="0.5999633777886288"/>
        <bgColor indexed="64"/>
      </patternFill>
    </fill>
    <fill>
      <patternFill patternType="solid">
        <fgColor theme="6" tint="0.5999633777886288"/>
        <bgColor indexed="64"/>
      </patternFill>
    </fill>
    <fill>
      <patternFill patternType="solid">
        <fgColor theme="7" tint="0.5999633777886288"/>
        <bgColor indexed="64"/>
      </patternFill>
    </fill>
    <fill>
      <patternFill patternType="solid">
        <fgColor theme="8" tint="0.5999633777886288"/>
        <bgColor indexed="64"/>
      </patternFill>
    </fill>
    <fill>
      <patternFill patternType="solid">
        <fgColor theme="9" tint="0.5999633777886288"/>
        <bgColor indexed="64"/>
      </patternFill>
    </fill>
    <fill>
      <patternFill patternType="solid">
        <fgColor theme="4" tint="0.3999755851924192"/>
        <bgColor indexed="64"/>
      </patternFill>
    </fill>
    <fill>
      <patternFill patternType="solid">
        <fgColor theme="5" tint="0.3999755851924192"/>
        <bgColor indexed="64"/>
      </patternFill>
    </fill>
    <fill>
      <patternFill patternType="solid">
        <fgColor theme="6" tint="0.3999755851924192"/>
        <bgColor indexed="64"/>
      </patternFill>
    </fill>
    <fill>
      <patternFill patternType="solid">
        <fgColor theme="7" tint="0.3999755851924192"/>
        <bgColor indexed="64"/>
      </patternFill>
    </fill>
    <fill>
      <patternFill patternType="solid">
        <fgColor theme="8" tint="0.3999755851924192"/>
        <bgColor indexed="64"/>
      </patternFill>
    </fill>
    <fill>
      <patternFill patternType="solid">
        <fgColor theme="9" tint="0.3999755851924192"/>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2F2F2"/>
        <bgColor indexed="64"/>
      </patternFill>
    </fill>
    <fill>
      <patternFill patternType="solid">
        <fgColor rgb="FFFFCC99"/>
        <bgColor indexed="64"/>
      </patternFill>
    </fill>
    <fill>
      <patternFill patternType="solid">
        <fgColor rgb="FFFFC7CE"/>
        <bgColor indexed="64"/>
      </patternFill>
    </fill>
    <fill>
      <patternFill patternType="solid">
        <fgColor rgb="FFFFEB9C"/>
        <bgColor indexed="64"/>
      </patternFill>
    </fill>
    <fill>
      <patternFill patternType="solid">
        <fgColor rgb="FFFFFFCC"/>
        <bgColor indexed="64"/>
      </patternFill>
    </fill>
    <fill>
      <patternFill patternType="solid">
        <fgColor rgb="FFC6EFCE"/>
        <bgColor indexed="64"/>
      </patternFill>
    </fill>
    <fill>
      <patternFill patternType="solid">
        <fgColor rgb="FFA5A5A5"/>
        <bgColor indexed="64"/>
      </patternFill>
    </fill>
    <fill>
      <patternFill patternType="solid">
        <fgColor indexed="22"/>
        <bgColor indexed="64"/>
      </patternFill>
    </fill>
    <fill>
      <patternFill patternType="solid">
        <fgColor indexed="41"/>
        <bgColor indexed="64"/>
      </patternFill>
    </fill>
    <fill>
      <patternFill patternType="solid">
        <fgColor rgb="FFC0C0C0"/>
        <bgColor indexed="64"/>
      </patternFill>
    </fill>
  </fills>
  <borders count="35">
    <border>
      <left/>
      <right/>
      <top/>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bottom>
      <diagonal/>
    </border>
    <border>
      <left/>
      <right/>
      <top/>
      <bottom style="thick">
        <color theme="4" tint="0.499954222235786"/>
      </bottom>
      <diagonal/>
    </border>
    <border>
      <left/>
      <right/>
      <top/>
      <bottom style="medium">
        <color theme="4" tint="0.3999755851924192"/>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medium">
        <color auto="1"/>
      </top>
      <bottom style="medium">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right style="medium">
        <color auto="1"/>
      </right>
      <top style="medium">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right style="medium">
        <color auto="1"/>
      </right>
      <top/>
      <bottom/>
      <diagonal/>
    </border>
    <border>
      <left style="thick">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right style="medium">
        <color auto="1"/>
      </right>
      <top/>
      <bottom style="medium">
        <color auto="1"/>
      </bottom>
      <diagonal/>
    </border>
    <border>
      <left style="thick">
        <color auto="1"/>
      </left>
      <right/>
      <top/>
      <bottom/>
      <diagonal/>
    </border>
    <border>
      <left/>
      <right style="thick">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48">
    <xf numFmtId="0" fontId="31" fillId="0" borderId="0"/>
    <xf numFmtId="0" fontId="11" fillId="2" borderId="0"/>
    <xf numFmtId="0" fontId="11" fillId="3" borderId="0"/>
    <xf numFmtId="0" fontId="11" fillId="4" borderId="0"/>
    <xf numFmtId="0" fontId="11" fillId="5" borderId="0"/>
    <xf numFmtId="0" fontId="11" fillId="6" borderId="0"/>
    <xf numFmtId="0" fontId="11" fillId="7" borderId="0"/>
    <xf numFmtId="0" fontId="11" fillId="8" borderId="0"/>
    <xf numFmtId="0" fontId="11" fillId="9" borderId="0"/>
    <xf numFmtId="0" fontId="11" fillId="10" borderId="0"/>
    <xf numFmtId="0" fontId="11" fillId="11" borderId="0"/>
    <xf numFmtId="0" fontId="11" fillId="12" borderId="0"/>
    <xf numFmtId="0" fontId="11" fillId="13" borderId="0"/>
    <xf numFmtId="0" fontId="12" fillId="14" borderId="0"/>
    <xf numFmtId="0" fontId="12" fillId="15" borderId="0"/>
    <xf numFmtId="0" fontId="12" fillId="16" borderId="0"/>
    <xf numFmtId="0" fontId="12" fillId="17" borderId="0"/>
    <xf numFmtId="0" fontId="12" fillId="18" borderId="0"/>
    <xf numFmtId="0" fontId="12" fillId="19" borderId="0"/>
    <xf numFmtId="0" fontId="12" fillId="20" borderId="0"/>
    <xf numFmtId="0" fontId="12" fillId="21" borderId="0"/>
    <xf numFmtId="0" fontId="12" fillId="22" borderId="0"/>
    <xf numFmtId="0" fontId="12" fillId="23" borderId="0"/>
    <xf numFmtId="0" fontId="12" fillId="24" borderId="0"/>
    <xf numFmtId="0" fontId="12" fillId="25" borderId="0"/>
    <xf numFmtId="0" fontId="13" fillId="0" borderId="0"/>
    <xf numFmtId="0" fontId="14" fillId="26" borderId="1"/>
    <xf numFmtId="0" fontId="15" fillId="0" borderId="2"/>
    <xf numFmtId="0" fontId="16" fillId="27" borderId="1"/>
    <xf numFmtId="0" fontId="17" fillId="28" borderId="0"/>
    <xf numFmtId="169" fontId="31" fillId="0" borderId="0"/>
    <xf numFmtId="170" fontId="31" fillId="0" borderId="0"/>
    <xf numFmtId="44" fontId="31" fillId="0" borderId="0"/>
    <xf numFmtId="42" fontId="31" fillId="0" borderId="0"/>
    <xf numFmtId="0" fontId="18" fillId="29" borderId="0"/>
    <xf numFmtId="0" fontId="31" fillId="30" borderId="3"/>
    <xf numFmtId="9" fontId="31" fillId="0" borderId="0"/>
    <xf numFmtId="0" fontId="19" fillId="31" borderId="0"/>
    <xf numFmtId="0" fontId="20" fillId="26" borderId="4"/>
    <xf numFmtId="0" fontId="31" fillId="0" borderId="0"/>
    <xf numFmtId="0" fontId="21" fillId="0" borderId="0"/>
    <xf numFmtId="0" fontId="22" fillId="0" borderId="0"/>
    <xf numFmtId="0" fontId="23" fillId="0" borderId="5"/>
    <xf numFmtId="0" fontId="24" fillId="0" borderId="6"/>
    <xf numFmtId="0" fontId="25" fillId="0" borderId="7"/>
    <xf numFmtId="0" fontId="25" fillId="0" borderId="0"/>
    <xf numFmtId="0" fontId="26" fillId="0" borderId="8"/>
    <xf numFmtId="0" fontId="27" fillId="32" borderId="9"/>
  </cellStyleXfs>
  <cellXfs count="242">
    <xf numFmtId="0" fontId="0" fillId="0" borderId="0" pivotButton="0" quotePrefix="0" xfId="0"/>
    <xf numFmtId="0" fontId="5" fillId="35" borderId="0" applyAlignment="1" pivotButton="0" quotePrefix="0" xfId="0">
      <alignment horizontal="right" vertical="top"/>
    </xf>
    <xf numFmtId="49" fontId="2" fillId="0" borderId="0" pivotButton="0" quotePrefix="0" xfId="0"/>
    <xf numFmtId="0" fontId="2" fillId="0" borderId="0" pivotButton="0" quotePrefix="0" xfId="0"/>
    <xf numFmtId="49" fontId="3" fillId="0" borderId="0" pivotButton="0" quotePrefix="0" xfId="0"/>
    <xf numFmtId="0" fontId="6" fillId="0" borderId="0" applyAlignment="1" pivotButton="0" quotePrefix="0" xfId="0">
      <alignment horizontal="center"/>
    </xf>
    <xf numFmtId="0" fontId="5" fillId="0" borderId="0" applyAlignment="1" pivotButton="0" quotePrefix="0" xfId="0">
      <alignment horizontal="center"/>
    </xf>
    <xf numFmtId="0" fontId="5" fillId="0" borderId="0" applyAlignment="1" pivotButton="0" quotePrefix="0" xfId="0">
      <alignment horizontal="left" vertical="top"/>
    </xf>
    <xf numFmtId="0" fontId="5" fillId="0" borderId="0" applyAlignment="1" pivotButton="0" quotePrefix="0" xfId="0">
      <alignment horizontal="center" vertical="top"/>
    </xf>
    <xf numFmtId="0" fontId="6" fillId="0" borderId="0" applyAlignment="1" pivotButton="0" quotePrefix="0" xfId="0">
      <alignment horizontal="center" vertical="top"/>
    </xf>
    <xf numFmtId="0" fontId="6" fillId="0" borderId="0"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0" fillId="0" borderId="0" applyAlignment="1" pivotButton="0" quotePrefix="0" xfId="0">
      <alignment vertical="center" wrapText="1"/>
    </xf>
    <xf numFmtId="0" fontId="10" fillId="0" borderId="0" applyAlignment="1" pivotButton="0" quotePrefix="0" xfId="0">
      <alignment vertical="center" wrapText="1"/>
    </xf>
    <xf numFmtId="0" fontId="6" fillId="0" borderId="0" applyAlignment="1" applyProtection="1" pivotButton="0" quotePrefix="0" xfId="0">
      <alignment horizontal="center"/>
      <protection locked="0" hidden="0"/>
    </xf>
    <xf numFmtId="0" fontId="4" fillId="0" borderId="0" applyAlignment="1" pivotButton="0" quotePrefix="0" xfId="0">
      <alignment wrapText="1"/>
    </xf>
    <xf numFmtId="49" fontId="2" fillId="0" borderId="0" applyAlignment="1" pivotButton="0" quotePrefix="0" xfId="0">
      <alignment wrapText="1"/>
    </xf>
    <xf numFmtId="164" fontId="6" fillId="0" borderId="0" applyAlignment="1" pivotButton="0" quotePrefix="0" xfId="0">
      <alignment horizontal="right" vertical="top" indent="1"/>
    </xf>
    <xf numFmtId="164" fontId="8" fillId="0" borderId="0" applyAlignment="1" pivotButton="0" quotePrefix="0" xfId="0">
      <alignment horizontal="right" vertical="top" indent="1"/>
    </xf>
    <xf numFmtId="164" fontId="6" fillId="0" borderId="0" applyAlignment="1" pivotButton="0" quotePrefix="0" xfId="0">
      <alignment horizontal="right" indent="1"/>
    </xf>
    <xf numFmtId="0" fontId="2" fillId="0" borderId="10" pivotButton="0" quotePrefix="0" xfId="0"/>
    <xf numFmtId="0" fontId="2" fillId="0" borderId="11" pivotButton="0" quotePrefix="0" xfId="0"/>
    <xf numFmtId="0" fontId="2" fillId="0" borderId="12" pivotButton="0" quotePrefix="0" xfId="0"/>
    <xf numFmtId="0" fontId="1" fillId="0" borderId="11" applyAlignment="1" pivotButton="0" quotePrefix="0" xfId="0">
      <alignment horizontal="center"/>
    </xf>
    <xf numFmtId="0" fontId="3" fillId="0" borderId="0" pivotButton="0" quotePrefix="0" xfId="0"/>
    <xf numFmtId="0" fontId="2" fillId="0" borderId="0" applyAlignment="1" pivotButton="0" quotePrefix="0" xfId="0">
      <alignment vertical="center"/>
    </xf>
    <xf numFmtId="0" fontId="2" fillId="0" borderId="0" applyAlignment="1" pivotButton="0" quotePrefix="0" xfId="0">
      <alignment vertical="top"/>
    </xf>
    <xf numFmtId="165" fontId="4" fillId="0" borderId="0" applyAlignment="1" pivotButton="0" quotePrefix="0" xfId="0">
      <alignment vertical="center"/>
    </xf>
    <xf numFmtId="165" fontId="2" fillId="0" borderId="0" applyAlignment="1" pivotButton="0" quotePrefix="0" xfId="0">
      <alignment vertical="center"/>
    </xf>
    <xf numFmtId="0" fontId="2" fillId="0" borderId="0" applyAlignment="1" pivotButton="0" quotePrefix="0" xfId="0">
      <alignment horizontal="right" vertical="center"/>
    </xf>
    <xf numFmtId="166" fontId="2" fillId="0" borderId="13" applyAlignment="1" pivotButton="0" quotePrefix="0" xfId="0">
      <alignment vertical="center"/>
    </xf>
    <xf numFmtId="166" fontId="2" fillId="0" borderId="14" applyAlignment="1" pivotButton="0" quotePrefix="0" xfId="0">
      <alignment vertical="center"/>
    </xf>
    <xf numFmtId="166" fontId="2" fillId="0" borderId="15" applyAlignment="1" pivotButton="0" quotePrefix="0" xfId="0">
      <alignment vertical="center"/>
    </xf>
    <xf numFmtId="49" fontId="2" fillId="0" borderId="0" applyAlignment="1" pivotButton="0" quotePrefix="0" xfId="0">
      <alignment vertical="center"/>
    </xf>
    <xf numFmtId="49" fontId="2" fillId="0" borderId="0" applyAlignment="1" pivotButton="0" quotePrefix="0" xfId="0">
      <alignment horizontal="right" vertical="center"/>
    </xf>
    <xf numFmtId="166" fontId="2" fillId="0" borderId="0" applyAlignment="1" pivotButton="0" quotePrefix="0" xfId="0">
      <alignment vertical="center"/>
    </xf>
    <xf numFmtId="166" fontId="4" fillId="0" borderId="0" applyAlignment="1" pivotButton="0" quotePrefix="0" xfId="0">
      <alignment vertical="center"/>
    </xf>
    <xf numFmtId="0" fontId="3" fillId="0" borderId="0" applyAlignment="1" pivotButton="0" quotePrefix="0" xfId="0">
      <alignment horizontal="right" vertical="center"/>
    </xf>
    <xf numFmtId="166" fontId="3" fillId="0" borderId="15" applyAlignment="1" pivotButton="0" quotePrefix="0" xfId="0">
      <alignment vertical="center"/>
    </xf>
    <xf numFmtId="0" fontId="3" fillId="0" borderId="0" applyAlignment="1" pivotButton="0" quotePrefix="0" xfId="0">
      <alignment vertical="center"/>
    </xf>
    <xf numFmtId="49" fontId="6" fillId="0" borderId="0" applyAlignment="1" pivotButton="0" quotePrefix="0" xfId="0">
      <alignment horizontal="left" vertical="center"/>
    </xf>
    <xf numFmtId="166" fontId="6" fillId="0" borderId="0" applyAlignment="1" pivotButton="0" quotePrefix="0" xfId="0">
      <alignment horizontal="right" vertical="center"/>
    </xf>
    <xf numFmtId="164" fontId="6" fillId="0" borderId="0" applyAlignment="1" pivotButton="0" quotePrefix="0" xfId="0">
      <alignment horizontal="right" vertical="center"/>
    </xf>
    <xf numFmtId="49" fontId="5" fillId="0" borderId="0" applyAlignment="1" pivotButton="0" quotePrefix="0" xfId="0">
      <alignment horizontal="center" vertical="center"/>
    </xf>
    <xf numFmtId="0" fontId="6" fillId="0" borderId="0" applyAlignment="1" pivotButton="0" quotePrefix="0" xfId="0">
      <alignment horizontal="center" vertical="center"/>
    </xf>
    <xf numFmtId="49" fontId="6" fillId="0" borderId="0" applyAlignment="1" applyProtection="1" pivotButton="0" quotePrefix="0" xfId="0">
      <alignment vertical="center" wrapText="1"/>
      <protection locked="0" hidden="0"/>
    </xf>
    <xf numFmtId="0" fontId="6" fillId="0" borderId="0" applyAlignment="1" applyProtection="1" pivotButton="0" quotePrefix="0" xfId="0">
      <alignment horizontal="center" vertical="center"/>
      <protection locked="0" hidden="0"/>
    </xf>
    <xf numFmtId="166" fontId="6" fillId="0" borderId="0" applyAlignment="1" applyProtection="1" pivotButton="0" quotePrefix="0" xfId="0">
      <alignment horizontal="right" vertical="center"/>
      <protection locked="0" hidden="0"/>
    </xf>
    <xf numFmtId="10" fontId="6" fillId="0" borderId="0" applyAlignment="1" applyProtection="1" pivotButton="0" quotePrefix="0" xfId="0">
      <alignment horizontal="center" vertical="center"/>
      <protection locked="0" hidden="0"/>
    </xf>
    <xf numFmtId="0" fontId="6"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0" borderId="0" applyAlignment="1" pivotButton="0" quotePrefix="0" xfId="0">
      <alignment horizontal="left" wrapText="1"/>
    </xf>
    <xf numFmtId="0" fontId="6" fillId="0" borderId="0" applyAlignment="1" applyProtection="1" pivotButton="0" quotePrefix="0" xfId="0">
      <alignment horizontal="left" wrapText="1"/>
      <protection locked="0" hidden="0"/>
    </xf>
    <xf numFmtId="0" fontId="10" fillId="34" borderId="0" applyAlignment="1" pivotButton="0" quotePrefix="0" xfId="39">
      <alignment vertical="top"/>
    </xf>
    <xf numFmtId="0" fontId="31" fillId="0" borderId="0" applyAlignment="1" pivotButton="0" quotePrefix="0" xfId="39">
      <alignment vertical="top"/>
    </xf>
    <xf numFmtId="0" fontId="10" fillId="0" borderId="0" applyAlignment="1" pivotButton="0" quotePrefix="0" xfId="39">
      <alignment vertical="top"/>
    </xf>
    <xf numFmtId="0" fontId="31" fillId="0" borderId="0" applyAlignment="1" pivotButton="0" quotePrefix="0" xfId="39">
      <alignment vertical="top" wrapText="1"/>
    </xf>
    <xf numFmtId="0" fontId="10" fillId="34" borderId="0" applyAlignment="1" pivotButton="0" quotePrefix="0" xfId="39">
      <alignment vertical="top" wrapText="1"/>
    </xf>
    <xf numFmtId="0" fontId="2" fillId="0" borderId="0" applyAlignment="1" applyProtection="1" pivotButton="0" quotePrefix="0" xfId="0">
      <alignment vertical="top"/>
      <protection locked="0" hidden="0"/>
    </xf>
    <xf numFmtId="0" fontId="2" fillId="0" borderId="0" applyProtection="1" pivotButton="0" quotePrefix="0" xfId="0">
      <protection locked="0" hidden="0"/>
    </xf>
    <xf numFmtId="0" fontId="6" fillId="0" borderId="0" applyAlignment="1" pivotButton="0" quotePrefix="0" xfId="0">
      <alignment horizontal="left"/>
    </xf>
    <xf numFmtId="167" fontId="6" fillId="0" borderId="0" applyAlignment="1" applyProtection="1" pivotButton="0" quotePrefix="0" xfId="0">
      <alignment horizontal="center" vertical="top"/>
      <protection locked="0" hidden="0"/>
    </xf>
    <xf numFmtId="167" fontId="9" fillId="0" borderId="0" applyAlignment="1" applyProtection="1" pivotButton="0" quotePrefix="0" xfId="0">
      <alignment horizontal="center" vertical="top"/>
      <protection locked="0" hidden="0"/>
    </xf>
    <xf numFmtId="167" fontId="6" fillId="0" borderId="0" applyAlignment="1" applyProtection="1" pivotButton="0" quotePrefix="0" xfId="0">
      <alignment horizontal="center"/>
      <protection locked="0" hidden="0"/>
    </xf>
    <xf numFmtId="168" fontId="6" fillId="0" borderId="0" applyAlignment="1" applyProtection="1" pivotButton="0" quotePrefix="0" xfId="0">
      <alignment horizontal="right" vertical="top"/>
      <protection locked="0" hidden="0"/>
    </xf>
    <xf numFmtId="168" fontId="5" fillId="0" borderId="0" applyAlignment="1" applyProtection="1" pivotButton="0" quotePrefix="0" xfId="0">
      <alignment horizontal="right" vertical="top"/>
      <protection locked="0" hidden="0"/>
    </xf>
    <xf numFmtId="168" fontId="6" fillId="0" borderId="0" applyAlignment="1" applyProtection="1" pivotButton="0" quotePrefix="0" xfId="0">
      <alignment horizontal="right"/>
      <protection locked="0" hidden="0"/>
    </xf>
    <xf numFmtId="168" fontId="6" fillId="0" borderId="0" applyAlignment="1" pivotButton="0" quotePrefix="0" xfId="0">
      <alignment horizontal="right" vertical="top"/>
    </xf>
    <xf numFmtId="168" fontId="8" fillId="0" borderId="0" applyAlignment="1" pivotButton="0" quotePrefix="0" xfId="0">
      <alignment horizontal="right" vertical="top"/>
    </xf>
    <xf numFmtId="168" fontId="6" fillId="0" borderId="0" applyAlignment="1" pivotButton="0" quotePrefix="0" xfId="0">
      <alignment horizontal="right"/>
    </xf>
    <xf numFmtId="0" fontId="5" fillId="0" borderId="0" applyAlignment="1" applyProtection="1" pivotButton="0" quotePrefix="0" xfId="0">
      <alignment horizontal="left" wrapText="1"/>
      <protection locked="0" hidden="0"/>
    </xf>
    <xf numFmtId="0" fontId="10" fillId="0" borderId="0" pivotButton="0" quotePrefix="0" xfId="0"/>
    <xf numFmtId="168" fontId="28" fillId="0" borderId="0" applyAlignment="1" applyProtection="1" pivotButton="0" quotePrefix="0" xfId="0">
      <alignment horizontal="right" vertical="top"/>
      <protection locked="0" hidden="0"/>
    </xf>
    <xf numFmtId="168" fontId="29" fillId="0" borderId="0" applyAlignment="1" applyProtection="1" pivotButton="0" quotePrefix="0" xfId="0">
      <alignment horizontal="right" vertical="top"/>
      <protection locked="0" hidden="0"/>
    </xf>
    <xf numFmtId="0" fontId="28" fillId="0" borderId="0" applyAlignment="1" applyProtection="1" pivotButton="0" quotePrefix="0" xfId="0">
      <alignment horizontal="right" vertical="top" indent="1"/>
      <protection locked="0" hidden="0"/>
    </xf>
    <xf numFmtId="0" fontId="29" fillId="0" borderId="0" applyAlignment="1" applyProtection="1" pivotButton="0" quotePrefix="0" xfId="0">
      <alignment horizontal="right" vertical="top" indent="1"/>
      <protection locked="0" hidden="0"/>
    </xf>
    <xf numFmtId="0" fontId="5" fillId="0" borderId="0" applyAlignment="1" pivotButton="0" quotePrefix="1" xfId="0">
      <alignment horizontal="left" vertical="top"/>
    </xf>
    <xf numFmtId="0" fontId="5" fillId="0" borderId="0" applyAlignment="1" pivotButton="0" quotePrefix="1" xfId="0">
      <alignment horizontal="left" vertical="top" wrapText="1"/>
    </xf>
    <xf numFmtId="0" fontId="29" fillId="0" borderId="0" applyAlignment="1" applyProtection="1" pivotButton="0" quotePrefix="0" xfId="0">
      <alignment horizontal="left" vertical="top" wrapText="1"/>
      <protection locked="0" hidden="0"/>
    </xf>
    <xf numFmtId="168" fontId="5" fillId="0" borderId="0" applyAlignment="1" pivotButton="0" quotePrefix="0" xfId="0">
      <alignment horizontal="right" vertical="top"/>
    </xf>
    <xf numFmtId="167" fontId="5" fillId="0" borderId="0" applyAlignment="1" applyProtection="1" pivotButton="0" quotePrefix="0" xfId="0">
      <alignment horizontal="center" vertical="top"/>
      <protection locked="0" hidden="0"/>
    </xf>
    <xf numFmtId="164" fontId="5" fillId="0" borderId="0" applyAlignment="1" pivotButton="0" quotePrefix="0" xfId="0">
      <alignment horizontal="right" vertical="top" indent="1"/>
    </xf>
    <xf numFmtId="0" fontId="6" fillId="0" borderId="0" applyAlignment="1" pivotButton="0" quotePrefix="1" xfId="0">
      <alignment horizontal="left" vertical="top"/>
    </xf>
    <xf numFmtId="0" fontId="6" fillId="0" borderId="0" applyAlignment="1" pivotButton="0" quotePrefix="1" xfId="0">
      <alignment horizontal="left" vertical="top" wrapText="1"/>
    </xf>
    <xf numFmtId="0" fontId="28" fillId="0" borderId="0" applyAlignment="1" applyProtection="1" pivotButton="0" quotePrefix="0" xfId="0">
      <alignment horizontal="left" vertical="top" wrapText="1"/>
      <protection locked="0" hidden="0"/>
    </xf>
    <xf numFmtId="0" fontId="6" fillId="0" borderId="0" applyAlignment="1" pivotButton="0" quotePrefix="0" xfId="0">
      <alignment horizontal="left" vertical="top"/>
    </xf>
    <xf numFmtId="0" fontId="6" fillId="0" borderId="0" applyAlignment="1" pivotButton="0" quotePrefix="0" xfId="0">
      <alignment horizontal="right" vertical="top"/>
    </xf>
    <xf numFmtId="167" fontId="6" fillId="0" borderId="0" applyAlignment="1" applyProtection="1" pivotButton="0" quotePrefix="0" xfId="0">
      <alignment horizontal="right" vertical="top"/>
      <protection locked="0" hidden="0"/>
    </xf>
    <xf numFmtId="168" fontId="5" fillId="35" borderId="0" applyAlignment="1" pivotButton="0" quotePrefix="0" xfId="0">
      <alignment horizontal="right" vertical="top"/>
    </xf>
    <xf numFmtId="167" fontId="5" fillId="35" borderId="0" applyAlignment="1" applyProtection="1" pivotButton="0" quotePrefix="0" xfId="0">
      <alignment horizontal="right" vertical="top"/>
      <protection locked="0" hidden="0"/>
    </xf>
    <xf numFmtId="164" fontId="5" fillId="35" borderId="0" applyAlignment="1" pivotButton="0" quotePrefix="0" xfId="0">
      <alignment horizontal="right" vertical="top" indent="1"/>
    </xf>
    <xf numFmtId="0" fontId="5" fillId="33" borderId="0" applyAlignment="1" pivotButton="0" quotePrefix="0" xfId="0">
      <alignment horizontal="center" vertical="top"/>
    </xf>
    <xf numFmtId="0" fontId="5" fillId="33" borderId="0" applyAlignment="1" pivotButton="0" quotePrefix="0" xfId="0">
      <alignment horizontal="left" vertical="top"/>
    </xf>
    <xf numFmtId="0" fontId="5" fillId="33" borderId="0" applyAlignment="1" pivotButton="0" quotePrefix="0" xfId="0">
      <alignment horizontal="left" vertical="top" wrapText="1"/>
    </xf>
    <xf numFmtId="0" fontId="5" fillId="33" borderId="0" applyAlignment="1" pivotButton="0" quotePrefix="0" xfId="0">
      <alignment horizontal="center" vertical="top" wrapText="1"/>
    </xf>
    <xf numFmtId="0" fontId="5" fillId="33" borderId="0" applyAlignment="1" applyProtection="1" pivotButton="0" quotePrefix="0" xfId="0">
      <alignment horizontal="center" vertical="top" wrapText="1"/>
      <protection locked="0" hidden="0"/>
    </xf>
    <xf numFmtId="168" fontId="29" fillId="33" borderId="0" applyAlignment="1" applyProtection="1" pivotButton="0" quotePrefix="0" xfId="0">
      <alignment horizontal="right" vertical="top"/>
      <protection locked="0" hidden="0"/>
    </xf>
    <xf numFmtId="0" fontId="29" fillId="33" borderId="0" applyAlignment="1" applyProtection="1" pivotButton="0" quotePrefix="0" xfId="0">
      <alignment horizontal="center" vertical="top"/>
      <protection locked="0" hidden="0"/>
    </xf>
    <xf numFmtId="167" fontId="5" fillId="33" borderId="0" applyAlignment="1" applyProtection="1" pivotButton="0" quotePrefix="0" xfId="0">
      <alignment horizontal="center" vertical="top"/>
      <protection locked="0" hidden="0"/>
    </xf>
    <xf numFmtId="166" fontId="5" fillId="33" borderId="0" applyAlignment="1" pivotButton="0" quotePrefix="0" xfId="0">
      <alignment horizontal="left" vertical="top" indent="1"/>
    </xf>
    <xf numFmtId="0" fontId="5" fillId="35" borderId="0" applyAlignment="1" pivotButton="0" quotePrefix="0" xfId="0">
      <alignment horizontal="center" vertical="top"/>
    </xf>
    <xf numFmtId="0" fontId="5" fillId="35" borderId="0" applyAlignment="1" applyProtection="1" pivotButton="0" quotePrefix="0" xfId="0">
      <alignment horizontal="left" vertical="top" wrapText="1"/>
      <protection locked="0" hidden="0"/>
    </xf>
    <xf numFmtId="0" fontId="10" fillId="0" borderId="0" applyAlignment="1" applyProtection="1" pivotButton="0" quotePrefix="0" xfId="0">
      <alignment horizontal="left" vertical="top" wrapText="1"/>
      <protection locked="0" hidden="0"/>
    </xf>
    <xf numFmtId="0" fontId="6" fillId="0" borderId="0" applyAlignment="1" applyProtection="1" pivotButton="0" quotePrefix="0" xfId="0">
      <alignment horizontal="left" vertical="top" wrapText="1"/>
      <protection locked="0" hidden="0"/>
    </xf>
    <xf numFmtId="49" fontId="5" fillId="0" borderId="0" applyAlignment="1" pivotButton="0" quotePrefix="0" xfId="0">
      <alignment vertical="top"/>
    </xf>
    <xf numFmtId="49" fontId="6" fillId="0" borderId="0" applyAlignment="1" pivotButton="0" quotePrefix="0" xfId="0">
      <alignment horizontal="left" vertical="top"/>
    </xf>
    <xf numFmtId="166" fontId="6" fillId="0" borderId="0" applyAlignment="1" pivotButton="0" quotePrefix="0" xfId="0">
      <alignment horizontal="right" vertical="top"/>
    </xf>
    <xf numFmtId="164" fontId="6" fillId="0" borderId="0" applyAlignment="1" pivotButton="0" quotePrefix="0" xfId="0">
      <alignment horizontal="right" vertical="top"/>
    </xf>
    <xf numFmtId="49" fontId="5" fillId="0" borderId="0" applyAlignment="1" pivotButton="0" quotePrefix="0" xfId="0">
      <alignment horizontal="left" vertical="top"/>
    </xf>
    <xf numFmtId="166" fontId="5" fillId="0" borderId="0" applyAlignment="1" pivotButton="0" quotePrefix="0" xfId="0">
      <alignment horizontal="right" vertical="top"/>
    </xf>
    <xf numFmtId="166" fontId="8" fillId="0" borderId="0" applyAlignment="1" pivotButton="0" quotePrefix="0" xfId="0">
      <alignment horizontal="right" vertical="top"/>
    </xf>
    <xf numFmtId="164" fontId="7" fillId="0" borderId="0" applyAlignment="1" pivotButton="0" quotePrefix="0" xfId="0">
      <alignment horizontal="right" vertical="top"/>
    </xf>
    <xf numFmtId="49" fontId="5" fillId="33" borderId="16" applyAlignment="1" pivotButton="0" quotePrefix="0" xfId="0">
      <alignment vertical="top" wrapText="1"/>
    </xf>
    <xf numFmtId="49" fontId="5" fillId="33" borderId="17" applyAlignment="1" pivotButton="0" quotePrefix="0" xfId="0">
      <alignment horizontal="center" vertical="top"/>
    </xf>
    <xf numFmtId="166" fontId="5" fillId="33" borderId="17" applyAlignment="1" pivotButton="0" quotePrefix="0" xfId="0">
      <alignment horizontal="right" vertical="top"/>
    </xf>
    <xf numFmtId="166" fontId="5" fillId="33" borderId="17" applyAlignment="1" pivotButton="0" quotePrefix="0" xfId="0">
      <alignment horizontal="center" vertical="top"/>
    </xf>
    <xf numFmtId="49" fontId="5" fillId="33" borderId="18" applyAlignment="1" pivotButton="0" quotePrefix="0" xfId="0">
      <alignment horizontal="center" vertical="top"/>
    </xf>
    <xf numFmtId="164" fontId="5" fillId="33" borderId="19" applyAlignment="1" pivotButton="0" quotePrefix="0" xfId="0">
      <alignment horizontal="right" vertical="top"/>
    </xf>
    <xf numFmtId="49" fontId="6" fillId="0" borderId="20" applyAlignment="1" applyProtection="1" pivotButton="0" quotePrefix="0" xfId="0">
      <alignment vertical="top" wrapText="1"/>
      <protection locked="0" hidden="0"/>
    </xf>
    <xf numFmtId="0" fontId="6" fillId="0" borderId="21" applyAlignment="1" applyProtection="1" pivotButton="0" quotePrefix="0" xfId="0">
      <alignment horizontal="center" vertical="top"/>
      <protection locked="0" hidden="0"/>
    </xf>
    <xf numFmtId="49" fontId="6" fillId="0" borderId="21" applyAlignment="1" applyProtection="1" pivotButton="0" quotePrefix="0" xfId="0">
      <alignment horizontal="left" vertical="top" wrapText="1"/>
      <protection locked="0" hidden="0"/>
    </xf>
    <xf numFmtId="166" fontId="6" fillId="0" borderId="21" applyAlignment="1" pivotButton="0" quotePrefix="0" xfId="0">
      <alignment horizontal="right" vertical="top"/>
    </xf>
    <xf numFmtId="10" fontId="6" fillId="0" borderId="22" applyAlignment="1" applyProtection="1" pivotButton="0" quotePrefix="0" xfId="0">
      <alignment horizontal="center" vertical="top"/>
      <protection locked="0" hidden="0"/>
    </xf>
    <xf numFmtId="164" fontId="6" fillId="0" borderId="23" applyAlignment="1" pivotButton="0" quotePrefix="0" xfId="0">
      <alignment horizontal="right" vertical="top"/>
    </xf>
    <xf numFmtId="49" fontId="6" fillId="0" borderId="24" applyAlignment="1" applyProtection="1" pivotButton="0" quotePrefix="0" xfId="0">
      <alignment vertical="top" wrapText="1"/>
      <protection locked="0" hidden="0"/>
    </xf>
    <xf numFmtId="0" fontId="6" fillId="0" borderId="25" applyAlignment="1" applyProtection="1" pivotButton="0" quotePrefix="0" xfId="0">
      <alignment horizontal="center" vertical="top"/>
      <protection locked="0" hidden="0"/>
    </xf>
    <xf numFmtId="49" fontId="6" fillId="0" borderId="25" applyAlignment="1" applyProtection="1" pivotButton="0" quotePrefix="0" xfId="0">
      <alignment horizontal="left" vertical="top" wrapText="1"/>
      <protection locked="0" hidden="0"/>
    </xf>
    <xf numFmtId="166" fontId="6" fillId="0" borderId="25" applyAlignment="1" pivotButton="0" quotePrefix="0" xfId="0">
      <alignment horizontal="right" vertical="top"/>
    </xf>
    <xf numFmtId="10" fontId="6" fillId="0" borderId="26" applyAlignment="1" applyProtection="1" pivotButton="0" quotePrefix="0" xfId="0">
      <alignment horizontal="center" vertical="top"/>
      <protection locked="0" hidden="0"/>
    </xf>
    <xf numFmtId="164" fontId="6" fillId="0" borderId="27" applyAlignment="1" pivotButton="0" quotePrefix="0" xfId="0">
      <alignment horizontal="right" vertical="top"/>
    </xf>
    <xf numFmtId="49" fontId="5" fillId="33" borderId="10" applyAlignment="1" applyProtection="1" pivotButton="0" quotePrefix="0" xfId="0">
      <alignment vertical="top" wrapText="1"/>
      <protection locked="0" hidden="0"/>
    </xf>
    <xf numFmtId="0" fontId="5" fillId="33" borderId="11" applyAlignment="1" applyProtection="1" pivotButton="0" quotePrefix="0" xfId="0">
      <alignment horizontal="center" vertical="top"/>
      <protection locked="0" hidden="0"/>
    </xf>
    <xf numFmtId="166" fontId="5" fillId="33" borderId="11" applyAlignment="1" applyProtection="1" pivotButton="0" quotePrefix="0" xfId="0">
      <alignment horizontal="right" vertical="top" wrapText="1"/>
      <protection locked="0" hidden="0"/>
    </xf>
    <xf numFmtId="166" fontId="5" fillId="33" borderId="11" applyAlignment="1" pivotButton="0" quotePrefix="0" xfId="0">
      <alignment horizontal="right" vertical="top"/>
    </xf>
    <xf numFmtId="10" fontId="5" fillId="33" borderId="12" applyAlignment="1" applyProtection="1" pivotButton="0" quotePrefix="0" xfId="0">
      <alignment horizontal="center" vertical="top"/>
      <protection locked="0" hidden="0"/>
    </xf>
    <xf numFmtId="49" fontId="5" fillId="0" borderId="28" applyAlignment="1" applyProtection="1" pivotButton="0" quotePrefix="0" xfId="0">
      <alignment vertical="top" wrapText="1"/>
      <protection locked="0" hidden="0"/>
    </xf>
    <xf numFmtId="166" fontId="5" fillId="0" borderId="0" applyAlignment="1" applyProtection="1" pivotButton="0" quotePrefix="0" xfId="0">
      <alignment horizontal="right" vertical="top" wrapText="1"/>
      <protection locked="0" hidden="0"/>
    </xf>
    <xf numFmtId="10" fontId="5" fillId="0" borderId="29" applyAlignment="1" applyProtection="1" pivotButton="0" quotePrefix="0" xfId="0">
      <alignment horizontal="center" vertical="top"/>
      <protection locked="0" hidden="0"/>
    </xf>
    <xf numFmtId="168" fontId="5" fillId="33" borderId="17" applyAlignment="1" pivotButton="0" quotePrefix="0" xfId="0">
      <alignment horizontal="right" vertical="top"/>
    </xf>
    <xf numFmtId="168" fontId="6" fillId="0" borderId="21" applyAlignment="1" applyProtection="1" pivotButton="0" quotePrefix="0" xfId="0">
      <alignment horizontal="right" vertical="top"/>
      <protection locked="0" hidden="0"/>
    </xf>
    <xf numFmtId="168" fontId="6" fillId="0" borderId="25" applyAlignment="1" applyProtection="1" pivotButton="0" quotePrefix="0" xfId="0">
      <alignment horizontal="right" vertical="top"/>
      <protection locked="0" hidden="0"/>
    </xf>
    <xf numFmtId="168" fontId="5" fillId="33" borderId="11" applyAlignment="1" applyProtection="1" pivotButton="0" quotePrefix="0" xfId="0">
      <alignment horizontal="right" vertical="top"/>
      <protection locked="0" hidden="0"/>
    </xf>
    <xf numFmtId="168" fontId="6" fillId="0" borderId="0" applyAlignment="1" applyProtection="1" pivotButton="0" quotePrefix="0" xfId="0">
      <alignment horizontal="right" vertical="center"/>
      <protection locked="0" hidden="0"/>
    </xf>
    <xf numFmtId="0" fontId="6" fillId="0" borderId="0" applyAlignment="1" applyProtection="1" pivotButton="0" quotePrefix="0" xfId="0">
      <alignment horizontal="left" wrapText="1"/>
      <protection locked="0" hidden="0"/>
    </xf>
    <xf numFmtId="168" fontId="6" fillId="0" borderId="0" applyAlignment="1" applyProtection="1" pivotButton="0" quotePrefix="0" xfId="0">
      <alignment horizontal="left" wrapText="1"/>
      <protection locked="0" hidden="0"/>
    </xf>
    <xf numFmtId="167" fontId="6" fillId="0" borderId="0" applyAlignment="1" applyProtection="1" pivotButton="0" quotePrefix="0" xfId="0">
      <alignment horizontal="left" wrapText="1"/>
      <protection locked="0" hidden="0"/>
    </xf>
    <xf numFmtId="164" fontId="6" fillId="0" borderId="0" applyAlignment="1" applyProtection="1" pivotButton="0" quotePrefix="0" xfId="0">
      <alignment horizontal="left" wrapText="1" indent="1"/>
      <protection locked="0" hidden="0"/>
    </xf>
    <xf numFmtId="0" fontId="3" fillId="35" borderId="30" applyAlignment="1" pivotButton="0" quotePrefix="0" xfId="0">
      <alignment horizontal="center" vertical="center" wrapText="1"/>
    </xf>
    <xf numFmtId="0" fontId="3" fillId="35" borderId="31" applyAlignment="1" pivotButton="0" quotePrefix="0" xfId="0">
      <alignment horizontal="left" vertical="center" wrapText="1"/>
    </xf>
    <xf numFmtId="0" fontId="3" fillId="35" borderId="31" applyAlignment="1" pivotButton="0" quotePrefix="0" xfId="0">
      <alignment horizontal="center" vertical="center" wrapText="1"/>
    </xf>
    <xf numFmtId="0" fontId="3" fillId="35" borderId="31" applyAlignment="1" applyProtection="1" pivotButton="0" quotePrefix="0" xfId="0">
      <alignment horizontal="center" vertical="center" wrapText="1"/>
      <protection locked="0" hidden="0"/>
    </xf>
    <xf numFmtId="168" fontId="30" fillId="35" borderId="31" applyAlignment="1" applyProtection="1" pivotButton="0" quotePrefix="0" xfId="0">
      <alignment horizontal="right" vertical="center" wrapText="1"/>
      <protection locked="0" hidden="0"/>
    </xf>
    <xf numFmtId="0" fontId="30" fillId="35" borderId="31" applyAlignment="1" applyProtection="1" pivotButton="0" quotePrefix="0" xfId="0">
      <alignment horizontal="center" vertical="center" wrapText="1"/>
      <protection locked="0" hidden="0"/>
    </xf>
    <xf numFmtId="168" fontId="3" fillId="35" borderId="31" applyAlignment="1" pivotButton="0" quotePrefix="0" xfId="0">
      <alignment horizontal="right" vertical="center" wrapText="1"/>
    </xf>
    <xf numFmtId="167" fontId="3" fillId="35" borderId="31" applyAlignment="1" applyProtection="1" pivotButton="0" quotePrefix="0" xfId="0">
      <alignment horizontal="center" vertical="center" wrapText="1"/>
      <protection locked="0" hidden="0"/>
    </xf>
    <xf numFmtId="164" fontId="3" fillId="35" borderId="31" applyAlignment="1" pivotButton="0" quotePrefix="0" xfId="0">
      <alignment horizontal="center" vertical="center" wrapText="1"/>
    </xf>
    <xf numFmtId="0" fontId="3" fillId="35" borderId="32" applyAlignment="1" applyProtection="1" pivotButton="0" quotePrefix="0" xfId="0">
      <alignment horizontal="left" vertical="center" wrapText="1"/>
      <protection locked="0" hidden="0"/>
    </xf>
    <xf numFmtId="0" fontId="5" fillId="35" borderId="0" applyAlignment="1" applyProtection="1" pivotButton="0" quotePrefix="0" xfId="0">
      <alignment horizontal="right" vertical="top" wrapText="1"/>
      <protection locked="0" hidden="0"/>
    </xf>
    <xf numFmtId="0" fontId="5" fillId="35" borderId="0" applyAlignment="1" pivotButton="0" quotePrefix="0" xfId="0">
      <alignment horizontal="right" vertical="top"/>
    </xf>
    <xf numFmtId="0" fontId="5" fillId="35" borderId="0" applyAlignment="1" pivotButton="0" quotePrefix="0" xfId="0">
      <alignment horizontal="right" vertical="top" wrapText="1"/>
    </xf>
    <xf numFmtId="0" fontId="5" fillId="35" borderId="0" applyAlignment="1" applyProtection="1" pivotButton="0" quotePrefix="0" xfId="0">
      <alignment horizontal="right" vertical="top"/>
      <protection locked="0" hidden="0"/>
    </xf>
    <xf numFmtId="168" fontId="5" fillId="35" borderId="0" applyAlignment="1" applyProtection="1" pivotButton="0" quotePrefix="0" xfId="0">
      <alignment horizontal="right" vertical="top"/>
      <protection locked="0" hidden="0"/>
    </xf>
    <xf numFmtId="0" fontId="6" fillId="0" borderId="0" applyAlignment="1" applyProtection="1" pivotButton="0" quotePrefix="0" xfId="0">
      <alignment horizontal="right" vertical="top" wrapText="1"/>
      <protection locked="0" hidden="0"/>
    </xf>
    <xf numFmtId="0" fontId="6" fillId="0" borderId="0" applyAlignment="1" pivotButton="0" quotePrefix="0" xfId="0">
      <alignment horizontal="right" vertical="top"/>
    </xf>
    <xf numFmtId="0" fontId="6" fillId="0" borderId="0" applyAlignment="1" pivotButton="0" quotePrefix="0" xfId="0">
      <alignment horizontal="right" vertical="top" wrapText="1"/>
    </xf>
    <xf numFmtId="0" fontId="6" fillId="0" borderId="0" applyAlignment="1" applyProtection="1" pivotButton="0" quotePrefix="0" xfId="0">
      <alignment horizontal="right" vertical="top"/>
      <protection locked="0" hidden="0"/>
    </xf>
    <xf numFmtId="168" fontId="6" fillId="0" borderId="0" applyAlignment="1" applyProtection="1" pivotButton="0" quotePrefix="0" xfId="0">
      <alignment horizontal="right" vertical="top"/>
      <protection locked="0" hidden="0"/>
    </xf>
    <xf numFmtId="0" fontId="6" fillId="0" borderId="0" applyAlignment="1" pivotButton="0" quotePrefix="0" xfId="0">
      <alignment horizontal="left" vertical="center" wrapText="1"/>
    </xf>
    <xf numFmtId="0" fontId="6" fillId="0" borderId="0" applyAlignment="1" applyProtection="1" pivotButton="0" quotePrefix="0" xfId="0">
      <alignment horizontal="left" vertical="center" wrapText="1"/>
      <protection locked="0" hidden="0"/>
    </xf>
    <xf numFmtId="168" fontId="6" fillId="0" borderId="0" applyAlignment="1" applyProtection="1" pivotButton="0" quotePrefix="0" xfId="0">
      <alignment horizontal="left" vertical="center" wrapText="1"/>
      <protection locked="0" hidden="0"/>
    </xf>
    <xf numFmtId="168" fontId="6" fillId="0" borderId="0" applyAlignment="1" pivotButton="0" quotePrefix="0" xfId="0">
      <alignment horizontal="left" vertical="center" wrapText="1"/>
    </xf>
    <xf numFmtId="167" fontId="6" fillId="0" borderId="0" applyAlignment="1" applyProtection="1" pivotButton="0" quotePrefix="0" xfId="0">
      <alignment horizontal="left" vertical="center" wrapText="1"/>
      <protection locked="0" hidden="0"/>
    </xf>
    <xf numFmtId="164" fontId="6" fillId="0" borderId="0" applyAlignment="1" pivotButton="0" quotePrefix="0" xfId="0">
      <alignment horizontal="left" vertical="center" wrapText="1" indent="1"/>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wrapText="1"/>
    </xf>
    <xf numFmtId="0" fontId="0" fillId="0" borderId="0" applyAlignment="1" pivotButton="0" quotePrefix="0" xfId="0">
      <alignment vertical="top" wrapText="1"/>
    </xf>
    <xf numFmtId="49" fontId="4" fillId="0" borderId="0" applyAlignment="1" pivotButton="0" quotePrefix="0" xfId="0">
      <alignment vertical="top"/>
    </xf>
    <xf numFmtId="0" fontId="3" fillId="0" borderId="0" applyAlignment="1" pivotButton="0" quotePrefix="0" xfId="0">
      <alignment vertical="top" wrapText="1"/>
    </xf>
    <xf numFmtId="0" fontId="10" fillId="0" borderId="0" applyAlignment="1" pivotButton="0" quotePrefix="0" xfId="0">
      <alignment vertical="top" wrapText="1"/>
    </xf>
    <xf numFmtId="0" fontId="3" fillId="0" borderId="0" applyAlignment="1" pivotButton="0" quotePrefix="0" xfId="0">
      <alignment vertical="top"/>
    </xf>
    <xf numFmtId="0" fontId="2" fillId="0" borderId="0" pivotButton="0" quotePrefix="0" xfId="0"/>
    <xf numFmtId="165" fontId="4" fillId="0" borderId="0" applyAlignment="1" pivotButton="0" quotePrefix="0" xfId="0">
      <alignment vertical="center"/>
    </xf>
    <xf numFmtId="165" fontId="2" fillId="0" borderId="0" applyAlignment="1" pivotButton="0" quotePrefix="0" xfId="0">
      <alignment vertical="center"/>
    </xf>
    <xf numFmtId="166" fontId="2" fillId="0" borderId="13" applyAlignment="1" pivotButton="0" quotePrefix="0" xfId="0">
      <alignment vertical="center"/>
    </xf>
    <xf numFmtId="166" fontId="2" fillId="0" borderId="14" applyAlignment="1" pivotButton="0" quotePrefix="0" xfId="0">
      <alignment vertical="center"/>
    </xf>
    <xf numFmtId="166" fontId="2" fillId="0" borderId="15" applyAlignment="1" pivotButton="0" quotePrefix="0" xfId="0">
      <alignment vertical="center"/>
    </xf>
    <xf numFmtId="166" fontId="2" fillId="0" borderId="0" applyAlignment="1" pivotButton="0" quotePrefix="0" xfId="0">
      <alignment vertical="center"/>
    </xf>
    <xf numFmtId="166" fontId="4" fillId="0" borderId="0" applyAlignment="1" pivotButton="0" quotePrefix="0" xfId="0">
      <alignment vertical="center"/>
    </xf>
    <xf numFmtId="166" fontId="3" fillId="0" borderId="15" applyAlignment="1" pivotButton="0" quotePrefix="0" xfId="0">
      <alignment vertical="center"/>
    </xf>
    <xf numFmtId="168" fontId="6" fillId="0" borderId="0" applyAlignment="1" applyProtection="1" pivotButton="0" quotePrefix="0" xfId="0">
      <alignment horizontal="right"/>
      <protection locked="0" hidden="0"/>
    </xf>
    <xf numFmtId="168" fontId="6" fillId="0" borderId="0" applyAlignment="1" pivotButton="0" quotePrefix="0" xfId="0">
      <alignment horizontal="right"/>
    </xf>
    <xf numFmtId="167" fontId="6" fillId="0" borderId="0" applyAlignment="1" applyProtection="1" pivotButton="0" quotePrefix="0" xfId="0">
      <alignment horizontal="center"/>
      <protection locked="0" hidden="0"/>
    </xf>
    <xf numFmtId="164" fontId="6" fillId="0" borderId="0" applyAlignment="1" pivotButton="0" quotePrefix="0" xfId="0">
      <alignment horizontal="right" indent="1"/>
    </xf>
    <xf numFmtId="168" fontId="28" fillId="0" borderId="0" applyAlignment="1" applyProtection="1" pivotButton="0" quotePrefix="0" xfId="0">
      <alignment horizontal="right" vertical="top"/>
      <protection locked="0" hidden="0"/>
    </xf>
    <xf numFmtId="168" fontId="6" fillId="0" borderId="0" applyAlignment="1" pivotButton="0" quotePrefix="0" xfId="0">
      <alignment horizontal="right" vertical="top"/>
    </xf>
    <xf numFmtId="167" fontId="6" fillId="0" borderId="0" applyAlignment="1" applyProtection="1" pivotButton="0" quotePrefix="0" xfId="0">
      <alignment horizontal="center" vertical="top"/>
      <protection locked="0" hidden="0"/>
    </xf>
    <xf numFmtId="164" fontId="6" fillId="0" borderId="0" applyAlignment="1" pivotButton="0" quotePrefix="0" xfId="0">
      <alignment horizontal="right" vertical="top" indent="1"/>
    </xf>
    <xf numFmtId="168" fontId="29" fillId="0" borderId="0" applyAlignment="1" applyProtection="1" pivotButton="0" quotePrefix="0" xfId="0">
      <alignment horizontal="right" vertical="top"/>
      <protection locked="0" hidden="0"/>
    </xf>
    <xf numFmtId="168" fontId="8" fillId="0" borderId="0" applyAlignment="1" pivotButton="0" quotePrefix="0" xfId="0">
      <alignment horizontal="right" vertical="top"/>
    </xf>
    <xf numFmtId="167" fontId="9" fillId="0" borderId="0" applyAlignment="1" applyProtection="1" pivotButton="0" quotePrefix="0" xfId="0">
      <alignment horizontal="center" vertical="top"/>
      <protection locked="0" hidden="0"/>
    </xf>
    <xf numFmtId="164" fontId="8" fillId="0" borderId="0" applyAlignment="1" pivotButton="0" quotePrefix="0" xfId="0">
      <alignment horizontal="right" vertical="top" indent="1"/>
    </xf>
    <xf numFmtId="0" fontId="3" fillId="35" borderId="21" applyAlignment="1" pivotButton="0" quotePrefix="0" xfId="0">
      <alignment horizontal="center" vertical="center" wrapText="1"/>
    </xf>
    <xf numFmtId="0" fontId="0" fillId="0" borderId="31" pivotButton="0" quotePrefix="0" xfId="0"/>
    <xf numFmtId="0" fontId="0" fillId="0" borderId="32" pivotButton="0" quotePrefix="0" xfId="0"/>
    <xf numFmtId="168" fontId="29" fillId="33" borderId="0" applyAlignment="1" applyProtection="1" pivotButton="0" quotePrefix="0" xfId="0">
      <alignment horizontal="right" vertical="top"/>
      <protection locked="0" hidden="0"/>
    </xf>
    <xf numFmtId="168" fontId="5" fillId="35" borderId="0" applyAlignment="1" pivotButton="0" quotePrefix="0" xfId="0">
      <alignment horizontal="right" vertical="top"/>
    </xf>
    <xf numFmtId="167" fontId="5" fillId="33" borderId="0" applyAlignment="1" applyProtection="1" pivotButton="0" quotePrefix="0" xfId="0">
      <alignment horizontal="center" vertical="top"/>
      <protection locked="0" hidden="0"/>
    </xf>
    <xf numFmtId="164" fontId="5" fillId="35" borderId="0" applyAlignment="1" pivotButton="0" quotePrefix="0" xfId="0">
      <alignment horizontal="right" vertical="top" indent="1"/>
    </xf>
    <xf numFmtId="166" fontId="5" fillId="33" borderId="0" applyAlignment="1" pivotButton="0" quotePrefix="0" xfId="0">
      <alignment horizontal="left" vertical="top" indent="1"/>
    </xf>
    <xf numFmtId="168" fontId="5" fillId="0" borderId="0" applyAlignment="1" pivotButton="0" quotePrefix="0" xfId="0">
      <alignment horizontal="right" vertical="top"/>
    </xf>
    <xf numFmtId="167" fontId="5" fillId="0" borderId="0" applyAlignment="1" applyProtection="1" pivotButton="0" quotePrefix="0" xfId="0">
      <alignment horizontal="center" vertical="top"/>
      <protection locked="0" hidden="0"/>
    </xf>
    <xf numFmtId="164" fontId="5" fillId="0" borderId="0" applyAlignment="1" pivotButton="0" quotePrefix="0" xfId="0">
      <alignment horizontal="right" vertical="top" indent="1"/>
    </xf>
    <xf numFmtId="4" fontId="28" fillId="0" borderId="0" applyAlignment="1" applyProtection="1" pivotButton="0" quotePrefix="0" xfId="0">
      <alignment horizontal="right" vertical="top"/>
      <protection locked="0" hidden="0"/>
    </xf>
    <xf numFmtId="0" fontId="0" fillId="0" borderId="0" applyProtection="1" pivotButton="0" quotePrefix="0" xfId="0">
      <protection locked="0" hidden="0"/>
    </xf>
    <xf numFmtId="167" fontId="5" fillId="35" borderId="0" applyAlignment="1" applyProtection="1" pivotButton="0" quotePrefix="0" xfId="0">
      <alignment horizontal="right" vertical="top"/>
      <protection locked="0" hidden="0"/>
    </xf>
    <xf numFmtId="168" fontId="6" fillId="0" borderId="0" applyAlignment="1" applyProtection="1" pivotButton="0" quotePrefix="0" xfId="0">
      <alignment horizontal="right" vertical="top"/>
      <protection locked="0" hidden="0"/>
    </xf>
    <xf numFmtId="167" fontId="6" fillId="0" borderId="0" applyAlignment="1" applyProtection="1" pivotButton="0" quotePrefix="0" xfId="0">
      <alignment horizontal="right" vertical="top"/>
      <protection locked="0" hidden="0"/>
    </xf>
    <xf numFmtId="168" fontId="6" fillId="0" borderId="0" applyAlignment="1" applyProtection="1" pivotButton="0" quotePrefix="0" xfId="0">
      <alignment horizontal="right" vertical="center"/>
      <protection locked="0" hidden="0"/>
    </xf>
    <xf numFmtId="166" fontId="6" fillId="0" borderId="0" applyAlignment="1" applyProtection="1" pivotButton="0" quotePrefix="0" xfId="0">
      <alignment horizontal="right" vertical="center"/>
      <protection locked="0" hidden="0"/>
    </xf>
    <xf numFmtId="166" fontId="6" fillId="0" borderId="0" applyAlignment="1" pivotButton="0" quotePrefix="0" xfId="0">
      <alignment horizontal="right" vertical="center"/>
    </xf>
    <xf numFmtId="164" fontId="6" fillId="0" borderId="0" applyAlignment="1" pivotButton="0" quotePrefix="0" xfId="0">
      <alignment horizontal="right" vertical="center"/>
    </xf>
    <xf numFmtId="166" fontId="6" fillId="0" borderId="0" applyAlignment="1" pivotButton="0" quotePrefix="0" xfId="0">
      <alignment horizontal="right" vertical="top"/>
    </xf>
    <xf numFmtId="164" fontId="6" fillId="0" borderId="0" applyAlignment="1" pivotButton="0" quotePrefix="0" xfId="0">
      <alignment horizontal="right" vertical="top"/>
    </xf>
    <xf numFmtId="166" fontId="5" fillId="0" borderId="0" applyAlignment="1" pivotButton="0" quotePrefix="0" xfId="0">
      <alignment horizontal="right" vertical="top"/>
    </xf>
    <xf numFmtId="166" fontId="8" fillId="0" borderId="0" applyAlignment="1" pivotButton="0" quotePrefix="0" xfId="0">
      <alignment horizontal="right" vertical="top"/>
    </xf>
    <xf numFmtId="164" fontId="7" fillId="0" borderId="0" applyAlignment="1" pivotButton="0" quotePrefix="0" xfId="0">
      <alignment horizontal="right" vertical="top"/>
    </xf>
    <xf numFmtId="168" fontId="5" fillId="33" borderId="17" applyAlignment="1" pivotButton="0" quotePrefix="0" xfId="0">
      <alignment horizontal="right" vertical="top"/>
    </xf>
    <xf numFmtId="166" fontId="5" fillId="33" borderId="17" applyAlignment="1" pivotButton="0" quotePrefix="0" xfId="0">
      <alignment horizontal="center" vertical="top"/>
    </xf>
    <xf numFmtId="166" fontId="5" fillId="33" borderId="17" applyAlignment="1" pivotButton="0" quotePrefix="0" xfId="0">
      <alignment horizontal="right" vertical="top"/>
    </xf>
    <xf numFmtId="164" fontId="5" fillId="33" borderId="19" applyAlignment="1" pivotButton="0" quotePrefix="0" xfId="0">
      <alignment horizontal="right" vertical="top"/>
    </xf>
    <xf numFmtId="168" fontId="6" fillId="0" borderId="21" applyAlignment="1" applyProtection="1" pivotButton="0" quotePrefix="0" xfId="0">
      <alignment horizontal="right" vertical="top"/>
      <protection locked="0" hidden="0"/>
    </xf>
    <xf numFmtId="166" fontId="6" fillId="0" borderId="21" applyAlignment="1" pivotButton="0" quotePrefix="0" xfId="0">
      <alignment horizontal="right" vertical="top"/>
    </xf>
    <xf numFmtId="164" fontId="6" fillId="0" borderId="23" applyAlignment="1" pivotButton="0" quotePrefix="0" xfId="0">
      <alignment horizontal="right" vertical="top"/>
    </xf>
    <xf numFmtId="168" fontId="6" fillId="0" borderId="25" applyAlignment="1" applyProtection="1" pivotButton="0" quotePrefix="0" xfId="0">
      <alignment horizontal="right" vertical="top"/>
      <protection locked="0" hidden="0"/>
    </xf>
    <xf numFmtId="166" fontId="6" fillId="0" borderId="25" applyAlignment="1" pivotButton="0" quotePrefix="0" xfId="0">
      <alignment horizontal="right" vertical="top"/>
    </xf>
    <xf numFmtId="164" fontId="6" fillId="0" borderId="27" applyAlignment="1" pivotButton="0" quotePrefix="0" xfId="0">
      <alignment horizontal="right" vertical="top"/>
    </xf>
    <xf numFmtId="168" fontId="5" fillId="33" borderId="11" applyAlignment="1" applyProtection="1" pivotButton="0" quotePrefix="0" xfId="0">
      <alignment horizontal="right" vertical="top"/>
      <protection locked="0" hidden="0"/>
    </xf>
    <xf numFmtId="166" fontId="5" fillId="33" borderId="11" applyAlignment="1" applyProtection="1" pivotButton="0" quotePrefix="0" xfId="0">
      <alignment horizontal="right" vertical="top" wrapText="1"/>
      <protection locked="0" hidden="0"/>
    </xf>
    <xf numFmtId="166" fontId="5" fillId="33" borderId="11" applyAlignment="1" pivotButton="0" quotePrefix="0" xfId="0">
      <alignment horizontal="right" vertical="top"/>
    </xf>
    <xf numFmtId="168" fontId="5" fillId="0" borderId="0" applyAlignment="1" applyProtection="1" pivotButton="0" quotePrefix="0" xfId="0">
      <alignment horizontal="right" vertical="top"/>
      <protection locked="0" hidden="0"/>
    </xf>
    <xf numFmtId="166" fontId="5" fillId="0" borderId="0" applyAlignment="1" applyProtection="1" pivotButton="0" quotePrefix="0" xfId="0">
      <alignment horizontal="right" vertical="top" wrapText="1"/>
      <protection locked="0" hidden="0"/>
    </xf>
  </cellXfs>
  <cellStyles count="48">
    <cellStyle name="Normal" xfId="0" builtinId="0"/>
    <cellStyle name="20 % - Accent1" xfId="1"/>
    <cellStyle name="20 % - Accent2" xfId="2"/>
    <cellStyle name="20 % - Accent3" xfId="3"/>
    <cellStyle name="20 % - Accent4" xfId="4"/>
    <cellStyle name="20 % - Accent5" xfId="5"/>
    <cellStyle name="20 % - Accent6" xfId="6"/>
    <cellStyle name="40 % - Accent1" xfId="7"/>
    <cellStyle name="40 % - Accent2" xfId="8"/>
    <cellStyle name="40 % - Accent3" xfId="9"/>
    <cellStyle name="40 % - Accent4" xfId="10"/>
    <cellStyle name="40 % - Accent5" xfId="11"/>
    <cellStyle name="40 % - Accent6" xfId="12"/>
    <cellStyle name="60 % - Accent1" xfId="13"/>
    <cellStyle name="60 % - Accent2" xfId="14"/>
    <cellStyle name="60 % - Accent3" xfId="15"/>
    <cellStyle name="60 % - Accent4" xfId="16"/>
    <cellStyle name="60 % - Accent5" xfId="17"/>
    <cellStyle name="60 % - Accent6" xfId="18"/>
    <cellStyle name="Accent1" xfId="19"/>
    <cellStyle name="Accent2" xfId="20"/>
    <cellStyle name="Accent3" xfId="21"/>
    <cellStyle name="Accent4" xfId="22"/>
    <cellStyle name="Accent5" xfId="23"/>
    <cellStyle name="Accent6" xfId="24"/>
    <cellStyle name="Avertissement" xfId="25"/>
    <cellStyle name="Calcul" xfId="26"/>
    <cellStyle name="Cellule liée" xfId="27"/>
    <cellStyle name="Entrée" xfId="28"/>
    <cellStyle name="Insatisfaisant" xfId="29"/>
    <cellStyle name="Comma" xfId="30"/>
    <cellStyle name="Comma [0]" xfId="31"/>
    <cellStyle name="Currency" xfId="32"/>
    <cellStyle name="Currency [0]" xfId="33"/>
    <cellStyle name="Neutre" xfId="34"/>
    <cellStyle name="Note" xfId="35"/>
    <cellStyle name="Percent" xfId="36"/>
    <cellStyle name="Satisfaisant" xfId="37"/>
    <cellStyle name="Sortie" xfId="38"/>
    <cellStyle name="Standaard 2" xfId="39"/>
    <cellStyle name="Texte explicatif" xfId="40"/>
    <cellStyle name="Titre" xfId="41"/>
    <cellStyle name="Titre 1" xfId="42"/>
    <cellStyle name="Titre 2" xfId="43"/>
    <cellStyle name="Titre 3" xfId="44"/>
    <cellStyle name="Titre 4" xfId="45"/>
    <cellStyle name="Total" xfId="46"/>
    <cellStyle name="Vérification" xfId="47"/>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codeName="Blad1">
    <outlinePr summaryBelow="1" summaryRight="1"/>
    <pageSetUpPr/>
  </sheetPr>
  <dimension ref="A1:D39"/>
  <sheetViews>
    <sheetView topLeftCell="A26" workbookViewId="0">
      <selection activeCell="A40" sqref="A40"/>
    </sheetView>
  </sheetViews>
  <sheetFormatPr baseColWidth="10" defaultColWidth="9.109375" defaultRowHeight="12.6"/>
  <cols>
    <col width="14.6640625" customWidth="1" style="181" min="1" max="1"/>
    <col width="18.88671875" customWidth="1" style="181" min="2" max="2"/>
    <col width="27" customWidth="1" style="181" min="3" max="3"/>
    <col width="27.6640625" customWidth="1" style="181" min="4" max="4"/>
    <col width="9.109375" customWidth="1" style="181" min="5" max="5"/>
    <col width="9.109375" customWidth="1" style="181" min="6" max="16384"/>
  </cols>
  <sheetData>
    <row r="1" ht="19.8" customHeight="1">
      <c r="A1" s="20" t="n"/>
      <c r="B1" s="21" t="n"/>
      <c r="C1" s="23" t="inlineStr">
        <is>
          <t>OFFRE</t>
        </is>
      </c>
      <c r="D1" s="22" t="n"/>
    </row>
    <row r="2" ht="3.75" customHeight="1"/>
    <row r="3" ht="3.75" customHeight="1"/>
    <row r="4" ht="3.75" customHeight="1"/>
    <row r="5" ht="3.75" customHeight="1"/>
    <row r="6" ht="3.75" customHeight="1">
      <c r="A6" s="4" t="n"/>
      <c r="C6" s="2" t="n"/>
      <c r="D6" s="15" t="n"/>
    </row>
    <row r="7" ht="3.75" customHeight="1">
      <c r="A7" s="2" t="n"/>
      <c r="B7" s="2" t="n"/>
      <c r="C7" s="2" t="n"/>
      <c r="D7" s="16" t="n"/>
    </row>
    <row r="8" ht="89.25" customHeight="1">
      <c r="A8" s="180" t="inlineStr">
        <is>
          <t>Marché</t>
        </is>
      </c>
      <c r="C8" s="178" t="inlineStr">
        <is>
          <t>Signalétique promotionnelle et scénographique éco-responsable _Marché conjoint Ville de Mons et CPAS de Mons - Lot 1 (Signalétique extérieure)</t>
        </is>
      </c>
    </row>
    <row r="9" ht="25.5" customHeight="1">
      <c r="A9" s="180" t="inlineStr">
        <is>
          <t>Référence</t>
        </is>
      </c>
      <c r="C9" s="178" t="inlineStr">
        <is>
          <t>BO.F.2026/Signalétique int &amp; ext/GC</t>
        </is>
      </c>
    </row>
    <row r="10" ht="25.5" customHeight="1">
      <c r="A10" s="173" t="inlineStr">
        <is>
          <t>Lieu</t>
        </is>
      </c>
      <c r="C10" s="175" t="inlineStr">
        <is>
          <t>Ville de Mons - Grand Place, 22</t>
        </is>
      </c>
    </row>
    <row r="11" ht="25.5" customHeight="1">
      <c r="A11" s="173" t="inlineStr">
        <is>
          <t>Pouvoir adjudicateur</t>
        </is>
      </c>
      <c r="C11" s="175" t="inlineStr">
        <is>
          <t>Ville de Mons</t>
        </is>
      </c>
    </row>
    <row r="12" ht="25.5" customHeight="1">
      <c r="A12" s="173" t="inlineStr">
        <is>
          <t>Bureau d'études</t>
        </is>
      </c>
      <c r="C12" s="175" t="inlineStr">
        <is>
          <t>Service Communication</t>
        </is>
      </c>
    </row>
    <row r="13" ht="25.5" customHeight="1">
      <c r="A13" s="177" t="inlineStr">
        <is>
          <t>Auteur de projet</t>
        </is>
      </c>
      <c r="C13" s="175" t="inlineStr">
        <is>
          <t>Emilie VILAIN</t>
        </is>
      </c>
    </row>
    <row r="14" ht="5.25" customHeight="1">
      <c r="A14" s="2" t="n"/>
      <c r="B14" s="2" t="n"/>
      <c r="C14" s="2" t="n"/>
      <c r="D14" s="2" t="n"/>
    </row>
    <row r="15" ht="5.25" customHeight="1">
      <c r="A15" s="2" t="n"/>
      <c r="B15" s="2" t="n"/>
      <c r="C15" s="2" t="n"/>
      <c r="D15" s="2" t="n"/>
    </row>
    <row r="16" ht="25.5" customHeight="1">
      <c r="A16" s="39" t="inlineStr">
        <is>
          <t>Total des postes</t>
        </is>
      </c>
      <c r="B16" s="25" t="n"/>
      <c r="C16" s="182" t="n"/>
      <c r="D16" s="183" t="n"/>
    </row>
    <row r="17" ht="25.5" customHeight="1">
      <c r="A17" s="25" t="n"/>
      <c r="B17" s="29" t="inlineStr">
        <is>
          <t>Hors TVA</t>
        </is>
      </c>
      <c r="C17" s="184">
        <f>Postes!M48</f>
        <v/>
      </c>
      <c r="D17" s="183" t="n"/>
    </row>
    <row r="18" ht="25.5" customHeight="1">
      <c r="A18" s="25" t="n"/>
      <c r="B18" s="29" t="inlineStr">
        <is>
          <t>TVA</t>
        </is>
      </c>
      <c r="C18" s="185">
        <f>C19-C17</f>
        <v/>
      </c>
      <c r="D18" s="183" t="n"/>
    </row>
    <row r="19" ht="25.5" customHeight="1">
      <c r="A19" s="25" t="n"/>
      <c r="B19" s="29" t="inlineStr">
        <is>
          <t>TVA comprise</t>
        </is>
      </c>
      <c r="C19" s="186">
        <f>Postes!M50</f>
        <v/>
      </c>
      <c r="D19" s="183" t="n"/>
    </row>
    <row r="20">
      <c r="A20" s="33" t="n"/>
      <c r="B20" s="34" t="n"/>
      <c r="C20" s="187" t="n"/>
      <c r="D20" s="183" t="n"/>
    </row>
    <row r="21" hidden="1">
      <c r="A21" s="39" t="inlineStr">
        <is>
          <t>Total des omissions</t>
        </is>
      </c>
      <c r="B21" s="29" t="n"/>
      <c r="C21" s="188" t="n"/>
      <c r="D21" s="183" t="n"/>
    </row>
    <row r="22" hidden="1">
      <c r="A22" s="25" t="n"/>
      <c r="B22" s="29" t="inlineStr">
        <is>
          <t>HTVA</t>
        </is>
      </c>
      <c r="C22" s="184">
        <f>Omissions!E14</f>
        <v/>
      </c>
      <c r="D22" s="183" t="n"/>
    </row>
    <row r="23" hidden="1">
      <c r="A23" s="25" t="n"/>
      <c r="B23" s="29" t="inlineStr">
        <is>
          <t>TVA</t>
        </is>
      </c>
      <c r="C23" s="185">
        <f>Omissions!E15</f>
        <v/>
      </c>
      <c r="D23" s="183" t="n"/>
    </row>
    <row r="24" hidden="1">
      <c r="A24" s="25" t="n"/>
      <c r="B24" s="29" t="inlineStr">
        <is>
          <t>TVA comprise</t>
        </is>
      </c>
      <c r="C24" s="186">
        <f>C22+C23</f>
        <v/>
      </c>
      <c r="D24" s="183" t="n"/>
    </row>
    <row r="25" hidden="1">
      <c r="A25" s="33" t="n"/>
      <c r="B25" s="34" t="n"/>
      <c r="C25" s="187" t="n"/>
      <c r="D25" s="183" t="n"/>
    </row>
    <row r="26" ht="26.25" customHeight="1">
      <c r="A26" s="39" t="inlineStr">
        <is>
          <t>Total de l'Offre</t>
        </is>
      </c>
      <c r="B26" s="29" t="n"/>
      <c r="C26" s="188" t="n"/>
      <c r="D26" s="183" t="n"/>
    </row>
    <row r="27" ht="26.25" customHeight="1">
      <c r="A27" s="25" t="n"/>
      <c r="B27" s="29" t="inlineStr">
        <is>
          <t>HTVA</t>
        </is>
      </c>
      <c r="C27" s="184">
        <f>C17+C22</f>
        <v/>
      </c>
      <c r="D27" s="183" t="n"/>
    </row>
    <row r="28" ht="26.25" customHeight="1">
      <c r="A28" s="25" t="n"/>
      <c r="B28" s="29" t="inlineStr">
        <is>
          <t>TVA</t>
        </is>
      </c>
      <c r="C28" s="185">
        <f>C18+C23</f>
        <v/>
      </c>
      <c r="D28" s="183" t="n"/>
    </row>
    <row r="29" ht="26.25" customHeight="1">
      <c r="A29" s="25" t="n"/>
      <c r="B29" s="37" t="inlineStr">
        <is>
          <t>TVA comprise</t>
        </is>
      </c>
      <c r="C29" s="189">
        <f>C19+C24</f>
        <v/>
      </c>
      <c r="D29" s="183" t="n"/>
    </row>
    <row r="30" ht="6" customHeight="1">
      <c r="A30" s="2" t="n"/>
      <c r="B30" s="2" t="n"/>
      <c r="C30" s="2" t="n"/>
      <c r="D30" s="2" t="n"/>
    </row>
    <row r="31" ht="6" customHeight="1">
      <c r="A31" s="2" t="n"/>
      <c r="B31" s="2" t="n"/>
      <c r="C31" s="2" t="n"/>
      <c r="D31" s="2" t="n"/>
    </row>
    <row r="32" ht="6" customHeight="1">
      <c r="A32" s="2" t="n"/>
      <c r="B32" s="2" t="n"/>
      <c r="C32" s="2" t="n"/>
      <c r="D32" s="2" t="n"/>
    </row>
    <row r="33" ht="6" customHeight="1">
      <c r="A33" s="2" t="n"/>
      <c r="B33" s="2" t="n"/>
      <c r="C33" s="2" t="n"/>
      <c r="D33" s="2" t="n"/>
    </row>
    <row r="34" ht="6" customHeight="1">
      <c r="A34" s="2" t="n"/>
      <c r="B34" s="2" t="n"/>
      <c r="C34" s="2" t="n"/>
      <c r="D34" s="2" t="n"/>
    </row>
    <row r="35">
      <c r="A35" s="24" t="inlineStr">
        <is>
          <t>Lu et approuvé,</t>
        </is>
      </c>
    </row>
    <row r="37" ht="24.75" customHeight="1">
      <c r="A37" s="173" t="inlineStr">
        <is>
          <t>Date</t>
        </is>
      </c>
      <c r="C37" s="58" t="inlineStr">
        <is>
          <t>[DATE DE DÉPÔT À COMPLÉTER]</t>
        </is>
      </c>
      <c r="D37" s="173" t="n"/>
    </row>
    <row r="38">
      <c r="A38" s="181" t="inlineStr">
        <is>
          <t>Nom firme</t>
        </is>
      </c>
      <c r="C38" s="59" t="inlineStr">
        <is>
          <t>BUNKER Gallery</t>
        </is>
      </c>
    </row>
    <row r="39">
      <c r="A39" s="181" t="inlineStr">
        <is>
          <t>Adresse firme</t>
        </is>
      </c>
      <c r="C39" s="59" t="inlineStr">
        <is>
          <t>[ADRESSE COMPLÈTE À COMPLÉTER], Kester</t>
        </is>
      </c>
    </row>
  </sheetData>
  <sheetProtection selectLockedCells="0" selectUnlockedCells="0" sheet="1" objects="0" insertRows="1" insertHyperlinks="1" autoFilter="1" scenarios="0" formatColumns="0" deleteColumns="1" insertColumns="1" pivotTables="1" deleteRows="1" formatCells="0" formatRows="0" sort="1"/>
  <mergeCells count="15">
    <mergeCell ref="C12:D12"/>
    <mergeCell ref="A38:B38"/>
    <mergeCell ref="C10:D10"/>
    <mergeCell ref="C11:D11"/>
    <mergeCell ref="A11:B11"/>
    <mergeCell ref="A10:B10"/>
    <mergeCell ref="A37:B37"/>
    <mergeCell ref="A13:B13"/>
    <mergeCell ref="C13:D13"/>
    <mergeCell ref="A39:B39"/>
    <mergeCell ref="C9:D9"/>
    <mergeCell ref="A9:B9"/>
    <mergeCell ref="A8:B8"/>
    <mergeCell ref="C8:D8"/>
    <mergeCell ref="A12:B12"/>
  </mergeCells>
  <pageMargins left="0.75" right="0.75" top="1" bottom="1" header="0.5" footer="0.5"/>
  <pageSetup orientation="portrait" paperSize="9" horizontalDpi="1200" verticalDpi="1200"/>
</worksheet>
</file>

<file path=xl/worksheets/sheet2.xml><?xml version="1.0" encoding="utf-8"?>
<worksheet xmlns="http://schemas.openxmlformats.org/spreadsheetml/2006/main">
  <sheetPr codeName="Blad2">
    <outlinePr summaryBelow="1" summaryRight="1"/>
    <pageSetUpPr/>
  </sheetPr>
  <dimension ref="A1:R69"/>
  <sheetViews>
    <sheetView tabSelected="1" workbookViewId="0">
      <pane ySplit="3" topLeftCell="A4" activePane="bottomLeft" state="frozen"/>
      <selection pane="bottomLeft" activeCell="Q21" sqref="Q21"/>
    </sheetView>
  </sheetViews>
  <sheetFormatPr baseColWidth="10" defaultColWidth="9.109375" defaultRowHeight="10.2"/>
  <cols>
    <col width="7.109375" customWidth="1" style="5" min="1" max="1"/>
    <col hidden="1" width="11.6640625" customWidth="1" style="60" min="2" max="2"/>
    <col hidden="1" width="3.6640625" customWidth="1" style="60" min="3" max="3"/>
    <col width="30.6640625" customWidth="1" style="51" min="4" max="4"/>
    <col width="4.6640625" customWidth="1" style="5" min="5" max="5"/>
    <col width="4.44140625" customWidth="1" style="5" min="6" max="6"/>
    <col width="4.33203125" customWidth="1" style="5" min="7" max="7"/>
    <col hidden="1" width="4.6640625" customWidth="1" style="14" min="8" max="9"/>
    <col hidden="1" width="7.6640625" customWidth="1" style="5" min="10" max="10"/>
    <col width="12.6640625" customWidth="1" style="190" min="11" max="11"/>
    <col hidden="1" width="28.6640625" customWidth="1" style="143" min="12" max="12"/>
    <col width="16.6640625" customWidth="1" style="191" min="13" max="13"/>
    <col width="7.44140625" customWidth="1" style="192" min="14" max="14"/>
    <col width="9.77734375" bestFit="1" customWidth="1" style="193" min="15" max="15"/>
    <col width="16.6640625" customWidth="1" style="5" min="16" max="16"/>
    <col hidden="1" width="18" customWidth="1" style="5" min="17" max="17"/>
    <col width="14.6640625" customWidth="1" style="143" min="18" max="18"/>
    <col width="9.109375" customWidth="1" style="5" min="19" max="19"/>
    <col width="9.109375" customWidth="1" style="5" min="20" max="16384"/>
  </cols>
  <sheetData>
    <row r="1" hidden="1">
      <c r="A1" s="8" t="n"/>
      <c r="B1" s="7" t="n"/>
      <c r="C1" s="7" t="n"/>
      <c r="D1" s="49" t="n"/>
      <c r="E1" s="9" t="n"/>
      <c r="F1" s="9" t="n"/>
      <c r="G1" s="9" t="n"/>
      <c r="H1" s="10" t="n"/>
      <c r="I1" s="10" t="n"/>
      <c r="J1" s="9" t="n"/>
      <c r="K1" s="194" t="n"/>
      <c r="L1" s="74" t="n"/>
      <c r="M1" s="195" t="n"/>
      <c r="N1" s="196" t="n"/>
      <c r="O1" s="197" t="n"/>
    </row>
    <row r="2" hidden="1" customFormat="1" s="6">
      <c r="A2" s="8" t="n"/>
      <c r="B2" s="7" t="n"/>
      <c r="C2" s="7" t="n"/>
      <c r="D2" s="50" t="n"/>
      <c r="E2" s="8" t="n"/>
      <c r="F2" s="8" t="n"/>
      <c r="G2" s="8" t="n"/>
      <c r="H2" s="11" t="n"/>
      <c r="I2" s="11" t="n"/>
      <c r="J2" s="8" t="n"/>
      <c r="K2" s="198" t="n"/>
      <c r="L2" s="75" t="n"/>
      <c r="M2" s="199" t="n"/>
      <c r="N2" s="200" t="n"/>
      <c r="O2" s="201" t="n"/>
      <c r="R2" s="70" t="n"/>
    </row>
    <row r="3" ht="40.05" customHeight="1">
      <c r="A3" s="202" t="inlineStr">
        <is>
          <t>Inventaire
  “Signalétique promotionnelle et scénographique éco-responsable _Marché conjoint Ville de Mons et CPAS de Mons - Lot 1 (Signalétique extérieure)”</t>
        </is>
      </c>
      <c r="B3" s="203" t="n"/>
      <c r="C3" s="203" t="n"/>
      <c r="D3" s="203" t="n"/>
      <c r="E3" s="203" t="n"/>
      <c r="F3" s="203" t="n"/>
      <c r="G3" s="203" t="n"/>
      <c r="H3" s="203" t="n"/>
      <c r="I3" s="203" t="n"/>
      <c r="J3" s="203" t="n"/>
      <c r="K3" s="203" t="n"/>
      <c r="L3" s="203" t="n"/>
      <c r="M3" s="203" t="n"/>
      <c r="N3" s="203" t="n"/>
      <c r="O3" s="203" t="n"/>
      <c r="P3" s="203" t="n"/>
      <c r="Q3" s="203" t="n"/>
      <c r="R3" s="204" t="n"/>
    </row>
    <row r="4" customFormat="1" s="6">
      <c r="A4" s="91" t="inlineStr">
        <is>
          <t>N°</t>
        </is>
      </c>
      <c r="B4" s="92" t="inlineStr">
        <is>
          <t>Référence</t>
        </is>
      </c>
      <c r="C4" s="92" t="n"/>
      <c r="D4" s="93" t="inlineStr">
        <is>
          <t>Description</t>
        </is>
      </c>
      <c r="E4" s="91" t="inlineStr">
        <is>
          <t>Type</t>
        </is>
      </c>
      <c r="F4" s="91" t="inlineStr">
        <is>
          <t>U</t>
        </is>
      </c>
      <c r="G4" s="94" t="inlineStr">
        <is>
          <t>Q</t>
        </is>
      </c>
      <c r="H4" s="95" t="inlineStr">
        <is>
          <t xml:space="preserve"> +</t>
        </is>
      </c>
      <c r="I4" s="95" t="inlineStr">
        <is>
          <t xml:space="preserve"> -</t>
        </is>
      </c>
      <c r="J4" s="91" t="inlineStr">
        <is>
          <t>Adapté</t>
        </is>
      </c>
      <c r="K4" s="205" t="inlineStr">
        <is>
          <t>PU HTVA</t>
        </is>
      </c>
      <c r="L4" s="97" t="inlineStr">
        <is>
          <t>PU en lettres</t>
        </is>
      </c>
      <c r="M4" s="206" t="inlineStr">
        <is>
          <t>Total</t>
        </is>
      </c>
      <c r="N4" s="207" t="inlineStr">
        <is>
          <t>TVA %</t>
        </is>
      </c>
      <c r="O4" s="208" t="inlineStr">
        <is>
          <t>TVA</t>
        </is>
      </c>
      <c r="P4" s="209" t="inlineStr">
        <is>
          <t>Remarques</t>
        </is>
      </c>
      <c r="Q4" s="100" t="inlineStr">
        <is>
          <t>Subcontract?</t>
        </is>
      </c>
      <c r="R4" s="101" t="inlineStr">
        <is>
          <t>Délai</t>
        </is>
      </c>
    </row>
    <row r="5" ht="13.2" customFormat="1" customHeight="1" s="71">
      <c r="A5" s="8" t="n"/>
      <c r="B5" s="76" t="inlineStr"/>
      <c r="C5" s="76" t="inlineStr"/>
      <c r="D5" s="77" t="inlineStr">
        <is>
          <t>BÂCHE BACKLIGHT</t>
        </is>
      </c>
      <c r="E5" s="8" t="inlineStr"/>
      <c r="F5" s="8" t="n"/>
      <c r="G5" s="8" t="n"/>
      <c r="H5" s="11" t="n"/>
      <c r="I5" s="11" t="n"/>
      <c r="J5" s="8" t="n"/>
      <c r="K5" s="198" t="n"/>
      <c r="L5" s="78" t="n"/>
      <c r="M5" s="210" t="n"/>
      <c r="N5" s="211" t="n"/>
      <c r="O5" s="212" t="n"/>
      <c r="P5" s="11" t="n"/>
      <c r="Q5" s="8" t="n"/>
      <c r="R5" s="102" t="n"/>
    </row>
    <row r="6" ht="40.8" customHeight="1">
      <c r="A6" s="9" t="n">
        <v>1</v>
      </c>
      <c r="B6" s="82" t="inlineStr"/>
      <c r="C6" s="82" t="inlineStr"/>
      <c r="D6" s="83" t="inlineStr">
        <is>
          <t>Format 3x4m (format utile 280x380cm) - Bâche rétroéclairée M2 de 650gr - Quadrichromie - attaches par réglette sur mesure</t>
        </is>
      </c>
      <c r="E6" s="9" t="inlineStr">
        <is>
          <t>QP</t>
        </is>
      </c>
      <c r="F6" s="9" t="inlineStr">
        <is>
          <t>pièce</t>
        </is>
      </c>
      <c r="G6" s="9" t="n">
        <v>20</v>
      </c>
      <c r="H6" s="10" t="n"/>
      <c r="I6" s="10" t="n"/>
      <c r="J6" s="9">
        <f>G6-I6+H6</f>
        <v/>
      </c>
      <c r="K6" s="213" t="n">
        <v>225</v>
      </c>
      <c r="L6" s="84" t="inlineStr">
        <is>
          <t>deux cent vingt-cinq euros</t>
        </is>
      </c>
      <c r="M6" s="195">
        <f>ROUND(G6*ROUND(K6,2),2)</f>
        <v/>
      </c>
      <c r="N6" s="196" t="n">
        <v>0.21</v>
      </c>
      <c r="O6" s="197">
        <f>ROUND(N6*ROUND(M6,2),2)</f>
        <v/>
      </c>
      <c r="P6" s="10" t="n"/>
      <c r="Q6" s="9" t="inlineStr">
        <is>
          <t>Non</t>
        </is>
      </c>
      <c r="R6" s="103" t="n">
        <v>8</v>
      </c>
    </row>
    <row r="7" ht="30.6" customHeight="1">
      <c r="A7" s="9" t="n">
        <v>2</v>
      </c>
      <c r="B7" s="82" t="inlineStr"/>
      <c r="C7" s="82" t="inlineStr"/>
      <c r="D7" s="83" t="inlineStr">
        <is>
          <t>Placement de la bâche sur place (8, rue neuve) à l'aide d'un élévateur (8, rue neuve)</t>
        </is>
      </c>
      <c r="E7" s="9" t="inlineStr">
        <is>
          <t>QP</t>
        </is>
      </c>
      <c r="F7" s="9" t="inlineStr">
        <is>
          <t>placement</t>
        </is>
      </c>
      <c r="G7" s="9" t="n">
        <v>20</v>
      </c>
      <c r="H7" s="10" t="n"/>
      <c r="I7" s="10" t="n"/>
      <c r="J7" s="9">
        <f>G7-I7+H7</f>
        <v/>
      </c>
      <c r="K7" s="213" t="n">
        <v>165</v>
      </c>
      <c r="L7" s="84" t="inlineStr">
        <is>
          <t>cent soixante-cinq euros</t>
        </is>
      </c>
      <c r="M7" s="195">
        <f>ROUND(G7*ROUND(K7,2),2)</f>
        <v/>
      </c>
      <c r="N7" s="196" t="n">
        <v>0.21</v>
      </c>
      <c r="O7" s="197">
        <f>ROUND(N7*ROUND(M7,2),2)</f>
        <v/>
      </c>
      <c r="P7" s="10" t="n"/>
      <c r="Q7" s="9" t="inlineStr">
        <is>
          <t>Non</t>
        </is>
      </c>
      <c r="R7" s="103" t="n">
        <v>5</v>
      </c>
    </row>
    <row r="8" ht="13.2" customFormat="1" customHeight="1" s="71">
      <c r="A8" s="8" t="n"/>
      <c r="B8" s="76" t="inlineStr"/>
      <c r="C8" s="76" t="inlineStr"/>
      <c r="D8" s="77" t="inlineStr">
        <is>
          <t>KAKEMONOS</t>
        </is>
      </c>
      <c r="E8" s="8" t="inlineStr"/>
      <c r="F8" s="8" t="n"/>
      <c r="G8" s="8" t="n"/>
      <c r="H8" s="11" t="n"/>
      <c r="I8" s="11" t="n"/>
      <c r="J8" s="8" t="n"/>
      <c r="K8" s="198" t="n"/>
      <c r="L8" s="78" t="n"/>
      <c r="M8" s="210" t="n"/>
      <c r="N8" s="211" t="n"/>
      <c r="O8" s="212" t="n"/>
      <c r="P8" s="11" t="n"/>
      <c r="Q8" s="8" t="n"/>
      <c r="R8" s="102" t="n"/>
    </row>
    <row r="9" ht="30.6" customHeight="1">
      <c r="A9" s="9" t="n">
        <v>3</v>
      </c>
      <c r="B9" s="82" t="inlineStr"/>
      <c r="C9" s="82" t="inlineStr"/>
      <c r="D9" s="83" t="inlineStr">
        <is>
          <t>Musée Duesberg : H 251 cm x 79 cm - impression quadri recto / verso - ourlet supérieur et inférieur</t>
        </is>
      </c>
      <c r="E9" s="9" t="inlineStr">
        <is>
          <t>QP</t>
        </is>
      </c>
      <c r="F9" s="9" t="inlineStr">
        <is>
          <t>pièce</t>
        </is>
      </c>
      <c r="G9" s="9" t="n">
        <v>10</v>
      </c>
      <c r="H9" s="10" t="n"/>
      <c r="I9" s="10" t="n"/>
      <c r="J9" s="9">
        <f>G9-I9+H9</f>
        <v/>
      </c>
      <c r="K9" s="213" t="n">
        <v>48</v>
      </c>
      <c r="L9" s="84" t="inlineStr">
        <is>
          <t>quarante-huit euros</t>
        </is>
      </c>
      <c r="M9" s="195">
        <f>ROUND(G9*ROUND(K9,2),2)</f>
        <v/>
      </c>
      <c r="N9" s="196" t="n">
        <v>0.21</v>
      </c>
      <c r="O9" s="197">
        <f>ROUND(N9*ROUND(M9,2),2)</f>
        <v/>
      </c>
      <c r="P9" s="10" t="n"/>
      <c r="Q9" s="9" t="inlineStr">
        <is>
          <t>Non</t>
        </is>
      </c>
      <c r="R9" s="103" t="n">
        <v>6</v>
      </c>
    </row>
    <row r="10" ht="40.8" customHeight="1">
      <c r="A10" s="9" t="n">
        <v>4</v>
      </c>
      <c r="B10" s="82" t="inlineStr"/>
      <c r="C10" s="82" t="inlineStr"/>
      <c r="D10" s="83" t="inlineStr">
        <is>
          <t>Entrées de ville : Format L100 x H300 cm - bâche sur Frontlit 450 gr quadri recto UV, avec gaines cousues haut et bas de 8 cm à plat</t>
        </is>
      </c>
      <c r="E10" s="9" t="inlineStr">
        <is>
          <t>QP</t>
        </is>
      </c>
      <c r="F10" s="9" t="inlineStr">
        <is>
          <t>pièce</t>
        </is>
      </c>
      <c r="G10" s="9" t="n">
        <v>130</v>
      </c>
      <c r="H10" s="10" t="n"/>
      <c r="I10" s="10" t="n"/>
      <c r="J10" s="9">
        <f>G10-I10+H10</f>
        <v/>
      </c>
      <c r="K10" s="213" t="n">
        <v>49</v>
      </c>
      <c r="L10" s="84" t="inlineStr">
        <is>
          <t>quarante-neuf euros</t>
        </is>
      </c>
      <c r="M10" s="195">
        <f>ROUND(G10*ROUND(K10,2),2)</f>
        <v/>
      </c>
      <c r="N10" s="196" t="n">
        <v>0.21</v>
      </c>
      <c r="O10" s="197">
        <f>ROUND(N10*ROUND(M10,2),2)</f>
        <v/>
      </c>
      <c r="P10" s="10" t="n"/>
      <c r="Q10" s="9" t="inlineStr">
        <is>
          <t>Non</t>
        </is>
      </c>
      <c r="R10" s="103" t="n">
        <v>6</v>
      </c>
    </row>
    <row r="11" ht="40.8" customHeight="1">
      <c r="A11" s="9" t="n">
        <v>5</v>
      </c>
      <c r="B11" s="82" t="inlineStr"/>
      <c r="C11" s="82" t="inlineStr"/>
      <c r="D11" s="83" t="inlineStr">
        <is>
          <t>Imagix: Format L150 x H450 cm - bâche micro-perforée 450 gr quadri recto UV, avec gaines cousues haut et bas de 8 cm à plat</t>
        </is>
      </c>
      <c r="E11" s="9" t="inlineStr">
        <is>
          <t>QP</t>
        </is>
      </c>
      <c r="F11" s="9" t="inlineStr">
        <is>
          <t>pièce</t>
        </is>
      </c>
      <c r="G11" s="9" t="n">
        <v>35</v>
      </c>
      <c r="H11" s="10" t="n"/>
      <c r="I11" s="10" t="n"/>
      <c r="J11" s="9">
        <f>G11-I11+H11</f>
        <v/>
      </c>
      <c r="K11" s="213" t="n">
        <v>110</v>
      </c>
      <c r="L11" s="84" t="inlineStr">
        <is>
          <t>cent dix euros</t>
        </is>
      </c>
      <c r="M11" s="195">
        <f>ROUND(G11*ROUND(K11,2),2)</f>
        <v/>
      </c>
      <c r="N11" s="196" t="n">
        <v>0.21</v>
      </c>
      <c r="O11" s="197">
        <f>ROUND(N11*ROUND(M11,2),2)</f>
        <v/>
      </c>
      <c r="P11" s="10" t="n"/>
      <c r="Q11" s="9" t="inlineStr">
        <is>
          <t>Non</t>
        </is>
      </c>
      <c r="R11" s="103" t="n">
        <v>8</v>
      </c>
    </row>
    <row r="12" ht="13.2" customFormat="1" customHeight="1" s="71">
      <c r="A12" s="8" t="n"/>
      <c r="B12" s="76" t="inlineStr"/>
      <c r="C12" s="76" t="inlineStr"/>
      <c r="D12" s="77" t="inlineStr">
        <is>
          <t>BÂCHE</t>
        </is>
      </c>
      <c r="E12" s="8" t="inlineStr"/>
      <c r="F12" s="8" t="n"/>
      <c r="G12" s="8" t="n"/>
      <c r="H12" s="11" t="n"/>
      <c r="I12" s="11" t="n"/>
      <c r="J12" s="8" t="n"/>
      <c r="K12" s="198" t="n"/>
      <c r="L12" s="78" t="n"/>
      <c r="M12" s="210" t="n"/>
      <c r="N12" s="211" t="n"/>
      <c r="O12" s="212" t="n"/>
      <c r="P12" s="11" t="n"/>
      <c r="Q12" s="8" t="n"/>
      <c r="R12" s="102" t="n"/>
    </row>
    <row r="13" ht="51" customHeight="1">
      <c r="A13" s="9" t="n">
        <v>6</v>
      </c>
      <c r="B13" s="82" t="inlineStr"/>
      <c r="C13" s="82" t="inlineStr"/>
      <c r="D13" s="83" t="inlineStr">
        <is>
          <t>Bâche travaux: Bâche microperforée mesh 350gr/m²  Format L 280cm x H 380cm Impression digital quadricouleur Finition doublure + œillets métalliques tous les 50cm</t>
        </is>
      </c>
      <c r="E13" s="9" t="inlineStr">
        <is>
          <t>QP</t>
        </is>
      </c>
      <c r="F13" s="9" t="inlineStr">
        <is>
          <t>pièce</t>
        </is>
      </c>
      <c r="G13" s="9" t="n">
        <v>20</v>
      </c>
      <c r="H13" s="10" t="n"/>
      <c r="I13" s="10" t="n"/>
      <c r="J13" s="9">
        <f>G13-I13+H13</f>
        <v/>
      </c>
      <c r="K13" s="213" t="n">
        <v>130</v>
      </c>
      <c r="L13" s="84" t="inlineStr">
        <is>
          <t>cent trente euros</t>
        </is>
      </c>
      <c r="M13" s="195">
        <f>ROUND(G13*ROUND(K13,2),2)</f>
        <v/>
      </c>
      <c r="N13" s="196" t="n">
        <v>0.21</v>
      </c>
      <c r="O13" s="197">
        <f>ROUND(N13*ROUND(M13,2),2)</f>
        <v/>
      </c>
      <c r="P13" s="10" t="n"/>
      <c r="Q13" s="9" t="inlineStr">
        <is>
          <t>Non</t>
        </is>
      </c>
      <c r="R13" s="103" t="n">
        <v>7</v>
      </c>
    </row>
    <row r="14" ht="40.8" customHeight="1">
      <c r="A14" s="9" t="n">
        <v>7</v>
      </c>
      <c r="B14" s="82" t="inlineStr"/>
      <c r="C14" s="82" t="inlineStr"/>
      <c r="D14" s="83" t="inlineStr">
        <is>
          <t>Bâche barrières HERAS : Bâche micro perforée290gr format H 1,7 m x 3,4 m impression quadri finition doublure + œillets métalliques tous les 50 cm</t>
        </is>
      </c>
      <c r="E14" s="9" t="inlineStr">
        <is>
          <t>QP</t>
        </is>
      </c>
      <c r="F14" s="9" t="inlineStr">
        <is>
          <t>pièce</t>
        </is>
      </c>
      <c r="G14" s="9" t="n">
        <v>30</v>
      </c>
      <c r="H14" s="10" t="n"/>
      <c r="I14" s="10" t="n"/>
      <c r="J14" s="9">
        <f>G14-I14+H14</f>
        <v/>
      </c>
      <c r="K14" s="213" t="n">
        <v>70</v>
      </c>
      <c r="L14" s="84" t="inlineStr">
        <is>
          <t>soixante-dix euros</t>
        </is>
      </c>
      <c r="M14" s="195">
        <f>ROUND(G14*ROUND(K14,2),2)</f>
        <v/>
      </c>
      <c r="N14" s="196" t="n">
        <v>0.21</v>
      </c>
      <c r="O14" s="197">
        <f>ROUND(N14*ROUND(M14,2),2)</f>
        <v/>
      </c>
      <c r="P14" s="10" t="n"/>
      <c r="Q14" s="9" t="inlineStr">
        <is>
          <t>Non</t>
        </is>
      </c>
      <c r="R14" s="103" t="n">
        <v>6</v>
      </c>
    </row>
    <row r="15" ht="30.6" customHeight="1">
      <c r="A15" s="9" t="n">
        <v>8</v>
      </c>
      <c r="B15" s="82" t="inlineStr"/>
      <c r="C15" s="82" t="inlineStr"/>
      <c r="D15" s="83" t="inlineStr">
        <is>
          <t>Bâche bas de la rue Neuve: H380 x L260 cm, avec œillets tous les 30 cm et élastiques, impression en quadrichromie</t>
        </is>
      </c>
      <c r="E15" s="9" t="inlineStr">
        <is>
          <t>QP</t>
        </is>
      </c>
      <c r="F15" s="9" t="inlineStr">
        <is>
          <t>pièce</t>
        </is>
      </c>
      <c r="G15" s="9" t="n">
        <v>10</v>
      </c>
      <c r="H15" s="10" t="n"/>
      <c r="I15" s="10" t="n"/>
      <c r="J15" s="9">
        <f>G15-I15+H15</f>
        <v/>
      </c>
      <c r="K15" s="213" t="n">
        <v>115</v>
      </c>
      <c r="L15" s="84" t="inlineStr">
        <is>
          <t>cent quinze euros</t>
        </is>
      </c>
      <c r="M15" s="195">
        <f>ROUND(G15*ROUND(K15,2),2)</f>
        <v/>
      </c>
      <c r="N15" s="196" t="n">
        <v>0.21</v>
      </c>
      <c r="O15" s="197">
        <f>ROUND(N15*ROUND(M15,2),2)</f>
        <v/>
      </c>
      <c r="P15" s="10" t="n"/>
      <c r="Q15" s="9" t="inlineStr">
        <is>
          <t>Non</t>
        </is>
      </c>
      <c r="R15" s="103" t="n">
        <v>7</v>
      </c>
    </row>
    <row r="16" ht="40.8" customHeight="1">
      <c r="A16" s="9" t="n">
        <v>9</v>
      </c>
      <c r="B16" s="82" t="inlineStr"/>
      <c r="C16" s="82" t="inlineStr"/>
      <c r="D16" s="83" t="inlineStr">
        <is>
          <t>Bâche façade Warocqué: L380 x H230 cm, quadri recto UV - Support Frontlit 450 gr - Façonnage ourlets et œillets tous les 30 cm sur les 4 côtés</t>
        </is>
      </c>
      <c r="E16" s="9" t="inlineStr">
        <is>
          <t>QP</t>
        </is>
      </c>
      <c r="F16" s="9" t="inlineStr">
        <is>
          <t>pièce</t>
        </is>
      </c>
      <c r="G16" s="9" t="n">
        <v>10</v>
      </c>
      <c r="H16" s="10" t="n"/>
      <c r="I16" s="10" t="n"/>
      <c r="J16" s="9">
        <f>G16-I16+H16</f>
        <v/>
      </c>
      <c r="K16" s="213" t="n">
        <v>120</v>
      </c>
      <c r="L16" s="84" t="inlineStr">
        <is>
          <t>cent vingt euros</t>
        </is>
      </c>
      <c r="M16" s="195">
        <f>ROUND(G16*ROUND(K16,2),2)</f>
        <v/>
      </c>
      <c r="N16" s="196" t="n">
        <v>0.21</v>
      </c>
      <c r="O16" s="197">
        <f>ROUND(N16*ROUND(M16,2),2)</f>
        <v/>
      </c>
      <c r="P16" s="10" t="inlineStr">
        <is>
          <t>Recto uniquement conformément au CSC (partie 2, Lot 1 b).</t>
        </is>
      </c>
      <c r="Q16" s="9" t="inlineStr">
        <is>
          <t>Non</t>
        </is>
      </c>
      <c r="R16" s="103" t="n">
        <v>7</v>
      </c>
    </row>
    <row r="17" ht="40.8" customHeight="1">
      <c r="A17" s="9" t="n">
        <v>10</v>
      </c>
      <c r="B17" s="82" t="inlineStr"/>
      <c r="C17" s="82" t="inlineStr"/>
      <c r="D17" s="83" t="inlineStr">
        <is>
          <t>Bâche pour CUBES: 180 x 180 cm - œillets tous les 30 cm - bâche 330 gr - 10 cm de marge sur chaque côté - 5 mm de bords perdus</t>
        </is>
      </c>
      <c r="E17" s="9" t="inlineStr">
        <is>
          <t>QP</t>
        </is>
      </c>
      <c r="F17" s="9" t="inlineStr">
        <is>
          <t>pièce</t>
        </is>
      </c>
      <c r="G17" s="9" t="n">
        <v>70</v>
      </c>
      <c r="H17" s="10" t="n"/>
      <c r="I17" s="10" t="n"/>
      <c r="J17" s="9">
        <f>G17-I17+H17</f>
        <v/>
      </c>
      <c r="K17" s="213" t="n">
        <v>42</v>
      </c>
      <c r="L17" s="84" t="inlineStr">
        <is>
          <t>quarante-deux euros</t>
        </is>
      </c>
      <c r="M17" s="195">
        <f>ROUND(G17*ROUND(K17,2),2)</f>
        <v/>
      </c>
      <c r="N17" s="196" t="n">
        <v>0.21</v>
      </c>
      <c r="O17" s="197">
        <f>ROUND(N17*ROUND(M17,2),2)</f>
        <v/>
      </c>
      <c r="P17" s="10" t="n"/>
      <c r="Q17" s="9" t="inlineStr">
        <is>
          <t>Non</t>
        </is>
      </c>
      <c r="R17" s="103" t="n">
        <v>6</v>
      </c>
    </row>
    <row r="18" ht="71.40000000000001" customHeight="1">
      <c r="A18" s="9" t="n">
        <v>11</v>
      </c>
      <c r="B18" s="82" t="inlineStr"/>
      <c r="C18" s="82" t="inlineStr"/>
      <c r="D18" s="83" t="inlineStr">
        <is>
          <t>Bâche « cube visitmons »
o Format : L105 x H215 cm 
o Caractéristiques : Bâche Pro 550g, soudure du bord périmètre, œillets tous les 50cm périmètre
o Couleurs : impression en quadrichromie</t>
        </is>
      </c>
      <c r="E18" s="9" t="inlineStr">
        <is>
          <t>QP</t>
        </is>
      </c>
      <c r="F18" s="9" t="inlineStr">
        <is>
          <t>pièce</t>
        </is>
      </c>
      <c r="G18" s="9" t="n">
        <v>90</v>
      </c>
      <c r="H18" s="10" t="n"/>
      <c r="I18" s="10" t="n"/>
      <c r="J18" s="9">
        <f>G18-I18+H18</f>
        <v/>
      </c>
      <c r="K18" s="213" t="n">
        <v>52</v>
      </c>
      <c r="L18" s="84" t="inlineStr">
        <is>
          <t>cinquante-deux euros</t>
        </is>
      </c>
      <c r="M18" s="195">
        <f>ROUND(G18*ROUND(K18,2),2)</f>
        <v/>
      </c>
      <c r="N18" s="196" t="n">
        <v>0.21</v>
      </c>
      <c r="O18" s="197">
        <f>ROUND(N18*ROUND(M18,2),2)</f>
        <v/>
      </c>
      <c r="P18" s="10" t="n"/>
      <c r="Q18" s="9" t="inlineStr">
        <is>
          <t>Non</t>
        </is>
      </c>
      <c r="R18" s="103" t="n">
        <v>6</v>
      </c>
    </row>
    <row r="19" ht="71.40000000000001" customHeight="1">
      <c r="A19" s="9" t="n">
        <v>12</v>
      </c>
      <c r="B19" s="82" t="inlineStr"/>
      <c r="C19" s="82" t="inlineStr"/>
      <c r="D19" s="83" t="inlineStr">
        <is>
          <t>Bâche barrière « Nadar »
o Format : L200xH110cm
o Caractéristiques : bâche micro-perforée 290gr avec des œillets tous les 50cm, avec soudure du bord 
o Couleurs : impression en quadrichromie</t>
        </is>
      </c>
      <c r="E19" s="9" t="inlineStr">
        <is>
          <t>QP</t>
        </is>
      </c>
      <c r="F19" s="9" t="inlineStr">
        <is>
          <t>pièce</t>
        </is>
      </c>
      <c r="G19" s="9" t="n">
        <v>70</v>
      </c>
      <c r="H19" s="10" t="n"/>
      <c r="I19" s="10" t="n"/>
      <c r="J19" s="9">
        <f>G19-I19+H19</f>
        <v/>
      </c>
      <c r="K19" s="213" t="n">
        <v>38</v>
      </c>
      <c r="L19" s="84" t="inlineStr">
        <is>
          <t>trente-huit euros</t>
        </is>
      </c>
      <c r="M19" s="195">
        <f>ROUND(G19*ROUND(K19,2),2)</f>
        <v/>
      </c>
      <c r="N19" s="196" t="n">
        <v>0.21</v>
      </c>
      <c r="O19" s="197">
        <f>ROUND(N19*ROUND(M19,2),2)</f>
        <v/>
      </c>
      <c r="P19" s="10" t="n"/>
      <c r="Q19" s="9" t="inlineStr">
        <is>
          <t>Non</t>
        </is>
      </c>
      <c r="R19" s="103" t="n">
        <v>6</v>
      </c>
    </row>
    <row r="20" ht="13.2" customFormat="1" customHeight="1" s="71">
      <c r="A20" s="8" t="n"/>
      <c r="B20" s="76" t="inlineStr"/>
      <c r="C20" s="76" t="inlineStr"/>
      <c r="D20" s="77" t="inlineStr">
        <is>
          <t>ROLLS UP</t>
        </is>
      </c>
      <c r="E20" s="8" t="inlineStr"/>
      <c r="F20" s="8" t="n"/>
      <c r="G20" s="8" t="n"/>
      <c r="H20" s="11" t="n"/>
      <c r="I20" s="11" t="n"/>
      <c r="J20" s="8" t="n"/>
      <c r="K20" s="198" t="n"/>
      <c r="L20" s="78" t="n"/>
      <c r="M20" s="210" t="n"/>
      <c r="N20" s="211" t="n"/>
      <c r="O20" s="212" t="n"/>
      <c r="P20" s="11" t="n"/>
      <c r="Q20" s="8" t="n"/>
      <c r="R20" s="102" t="n"/>
    </row>
    <row r="21" ht="30.6" customHeight="1">
      <c r="A21" s="9" t="n">
        <v>13</v>
      </c>
      <c r="B21" s="82" t="inlineStr"/>
      <c r="C21" s="82" t="inlineStr"/>
      <c r="D21" s="83" t="inlineStr">
        <is>
          <t>Rolls up : Format L 85x H 200 cm - Impression quadri recto - sac de transport inclus</t>
        </is>
      </c>
      <c r="E21" s="9" t="inlineStr">
        <is>
          <t>QP</t>
        </is>
      </c>
      <c r="F21" s="9" t="inlineStr">
        <is>
          <t>pièce</t>
        </is>
      </c>
      <c r="G21" s="9" t="n">
        <v>10</v>
      </c>
      <c r="H21" s="10" t="n"/>
      <c r="I21" s="10" t="n"/>
      <c r="J21" s="9">
        <f>G21-I21+H21</f>
        <v/>
      </c>
      <c r="K21" s="213" t="n">
        <v>78</v>
      </c>
      <c r="L21" s="84" t="inlineStr">
        <is>
          <t>soixante-dix-huit euros</t>
        </is>
      </c>
      <c r="M21" s="195">
        <f>ROUND(G21*ROUND(K21,2),2)</f>
        <v/>
      </c>
      <c r="N21" s="196" t="n">
        <v>0.21</v>
      </c>
      <c r="O21" s="197">
        <f>ROUND(N21*ROUND(M21,2),2)</f>
        <v/>
      </c>
      <c r="P21" s="10" t="n"/>
      <c r="Q21" s="9" t="inlineStr">
        <is>
          <t>Non</t>
        </is>
      </c>
      <c r="R21" s="103" t="n">
        <v>8</v>
      </c>
    </row>
    <row r="22" ht="20.4" customHeight="1">
      <c r="A22" s="9" t="n">
        <v>14</v>
      </c>
      <c r="B22" s="82" t="inlineStr"/>
      <c r="C22" s="82" t="inlineStr"/>
      <c r="D22" s="83" t="inlineStr">
        <is>
          <t>Rolls up: L60 x H160 cm - Impression quadri recto - Sac de transport inclus</t>
        </is>
      </c>
      <c r="E22" s="9" t="inlineStr">
        <is>
          <t>QP</t>
        </is>
      </c>
      <c r="F22" s="9" t="inlineStr">
        <is>
          <t>pièce</t>
        </is>
      </c>
      <c r="G22" s="9" t="n">
        <v>10</v>
      </c>
      <c r="H22" s="10" t="n"/>
      <c r="I22" s="10" t="n"/>
      <c r="J22" s="9">
        <f>G22-I22+H22</f>
        <v/>
      </c>
      <c r="K22" s="213" t="n">
        <v>65</v>
      </c>
      <c r="L22" s="84" t="inlineStr">
        <is>
          <t>soixante-cinq euros</t>
        </is>
      </c>
      <c r="M22" s="195">
        <f>ROUND(G22*ROUND(K22,2),2)</f>
        <v/>
      </c>
      <c r="N22" s="196" t="n">
        <v>0.21</v>
      </c>
      <c r="O22" s="197">
        <f>ROUND(N22*ROUND(M22,2),2)</f>
        <v/>
      </c>
      <c r="P22" s="10" t="n"/>
      <c r="Q22" s="9" t="inlineStr">
        <is>
          <t>Non</t>
        </is>
      </c>
      <c r="R22" s="103" t="n">
        <v>8</v>
      </c>
    </row>
    <row r="23" ht="13.2" customFormat="1" customHeight="1" s="71">
      <c r="A23" s="8" t="n"/>
      <c r="B23" s="76" t="inlineStr"/>
      <c r="C23" s="76" t="inlineStr"/>
      <c r="D23" s="77" t="inlineStr">
        <is>
          <t>BANNIERE ENTREE ABATTOIRS</t>
        </is>
      </c>
      <c r="E23" s="8" t="inlineStr"/>
      <c r="F23" s="8" t="n"/>
      <c r="G23" s="8" t="n"/>
      <c r="H23" s="11" t="n"/>
      <c r="I23" s="11" t="n"/>
      <c r="J23" s="8" t="n"/>
      <c r="K23" s="198" t="n"/>
      <c r="L23" s="78" t="n"/>
      <c r="M23" s="210" t="n"/>
      <c r="N23" s="211" t="n"/>
      <c r="O23" s="212" t="n"/>
      <c r="P23" s="11" t="n"/>
      <c r="Q23" s="8" t="n"/>
      <c r="R23" s="102" t="n"/>
    </row>
    <row r="24" ht="71.40000000000001" customHeight="1">
      <c r="A24" s="9" t="n">
        <v>15</v>
      </c>
      <c r="B24" s="82" t="inlineStr"/>
      <c r="C24" s="82" t="inlineStr"/>
      <c r="D24" s="83" t="inlineStr">
        <is>
          <t>Largeur : 75cm (pas de fausse coupe) X Hauteur : 160cm (= format avec ourlet à plat) auxquels on rajoute 10 cm de fausse coupe en haut et en bas et 1,5cm de couture en haut et en bas. Hauteur totale : 183 cm. Impression en quadrichromie</t>
        </is>
      </c>
      <c r="E24" s="9" t="inlineStr">
        <is>
          <t>QP</t>
        </is>
      </c>
      <c r="F24" s="9" t="inlineStr">
        <is>
          <t>pièce</t>
        </is>
      </c>
      <c r="G24" s="9" t="n">
        <v>10</v>
      </c>
      <c r="H24" s="10" t="n"/>
      <c r="I24" s="10" t="n"/>
      <c r="J24" s="9">
        <f>G24-I24+H24</f>
        <v/>
      </c>
      <c r="K24" s="213" t="n">
        <v>38</v>
      </c>
      <c r="L24" s="84" t="inlineStr">
        <is>
          <t>trente-huit euros</t>
        </is>
      </c>
      <c r="M24" s="195">
        <f>ROUND(G24*ROUND(K24,2),2)</f>
        <v/>
      </c>
      <c r="N24" s="196" t="n">
        <v>0.21</v>
      </c>
      <c r="O24" s="197">
        <f>ROUND(N24*ROUND(M24,2),2)</f>
        <v/>
      </c>
      <c r="P24" s="10" t="n"/>
      <c r="Q24" s="9" t="inlineStr">
        <is>
          <t>Non</t>
        </is>
      </c>
      <c r="R24" s="103" t="n">
        <v>6</v>
      </c>
    </row>
    <row r="25" ht="13.2" customFormat="1" customHeight="1" s="71">
      <c r="A25" s="8" t="n"/>
      <c r="B25" s="76" t="inlineStr"/>
      <c r="C25" s="76" t="inlineStr"/>
      <c r="D25" s="77" t="inlineStr">
        <is>
          <t>STICKERS</t>
        </is>
      </c>
      <c r="E25" s="8" t="inlineStr"/>
      <c r="F25" s="8" t="n"/>
      <c r="G25" s="8" t="n"/>
      <c r="H25" s="11" t="n"/>
      <c r="I25" s="11" t="n"/>
      <c r="J25" s="8" t="n"/>
      <c r="K25" s="198" t="n"/>
      <c r="L25" s="78" t="n"/>
      <c r="M25" s="210" t="n"/>
      <c r="N25" s="211" t="n"/>
      <c r="O25" s="212" t="n"/>
      <c r="P25" s="11" t="n"/>
      <c r="Q25" s="8" t="n"/>
      <c r="R25" s="102" t="n"/>
    </row>
    <row r="26" ht="20.4" customHeight="1">
      <c r="A26" s="9" t="n">
        <v>16</v>
      </c>
      <c r="B26" s="82" t="inlineStr"/>
      <c r="C26" s="82" t="inlineStr"/>
      <c r="D26" s="83" t="inlineStr">
        <is>
          <t>Carré 30x30cm - découpe rectangle carré. Impression en quadrichromie</t>
        </is>
      </c>
      <c r="E26" s="9" t="inlineStr">
        <is>
          <t>QP</t>
        </is>
      </c>
      <c r="F26" s="9" t="inlineStr">
        <is>
          <t>pièce</t>
        </is>
      </c>
      <c r="G26" s="9" t="n">
        <v>20</v>
      </c>
      <c r="H26" s="10" t="n"/>
      <c r="I26" s="10" t="n"/>
      <c r="J26" s="9">
        <f>G26-I26+H26</f>
        <v/>
      </c>
      <c r="K26" s="213" t="n">
        <v>4.8</v>
      </c>
      <c r="L26" s="84" t="inlineStr">
        <is>
          <t>quatre euros et quatre-vingts cents</t>
        </is>
      </c>
      <c r="M26" s="195">
        <f>ROUND(G26*ROUND(K26,2),2)</f>
        <v/>
      </c>
      <c r="N26" s="196" t="n">
        <v>0.21</v>
      </c>
      <c r="O26" s="197">
        <f>ROUND(N26*ROUND(M26,2),2)</f>
        <v/>
      </c>
      <c r="P26" s="10" t="n"/>
      <c r="Q26" s="9" t="inlineStr">
        <is>
          <t>Non</t>
        </is>
      </c>
      <c r="R26" s="103" t="n">
        <v>5</v>
      </c>
    </row>
    <row r="27" ht="30.6" customHeight="1">
      <c r="A27" s="9" t="n">
        <v>17</v>
      </c>
      <c r="B27" s="82" t="inlineStr"/>
      <c r="C27" s="82" t="inlineStr"/>
      <c r="D27" s="83" t="inlineStr">
        <is>
          <t>eletrostatique 15x20cm - quadrichromie miroir et blanc - support sur Vinyle Yupo Taco Jelly</t>
        </is>
      </c>
      <c r="E27" s="9" t="inlineStr">
        <is>
          <t>QP</t>
        </is>
      </c>
      <c r="F27" s="9" t="inlineStr">
        <is>
          <t>quantité : par 10</t>
        </is>
      </c>
      <c r="G27" s="9" t="n">
        <v>20</v>
      </c>
      <c r="H27" s="10" t="n"/>
      <c r="I27" s="10" t="n"/>
      <c r="J27" s="9">
        <f>G27-I27+H27</f>
        <v/>
      </c>
      <c r="K27" s="213" t="n">
        <v>18</v>
      </c>
      <c r="L27" s="84" t="inlineStr">
        <is>
          <t>dix-huit euros</t>
        </is>
      </c>
      <c r="M27" s="195">
        <f>ROUND(G27*ROUND(K27,2),2)</f>
        <v/>
      </c>
      <c r="N27" s="196" t="n">
        <v>0.21</v>
      </c>
      <c r="O27" s="197">
        <f>ROUND(N27*ROUND(M27,2),2)</f>
        <v/>
      </c>
      <c r="P27" s="10" t="n"/>
      <c r="Q27" s="9" t="inlineStr">
        <is>
          <t>Non</t>
        </is>
      </c>
      <c r="R27" s="103" t="n">
        <v>5</v>
      </c>
    </row>
    <row r="28" ht="20.4" customHeight="1">
      <c r="A28" s="9" t="n">
        <v>18</v>
      </c>
      <c r="B28" s="82" t="inlineStr"/>
      <c r="C28" s="82" t="inlineStr"/>
      <c r="D28" s="83" t="inlineStr">
        <is>
          <t>15cm diamètre - quadrichromie miroir + blanc - polymère transparent brillant</t>
        </is>
      </c>
      <c r="E28" s="9" t="inlineStr">
        <is>
          <t>QP</t>
        </is>
      </c>
      <c r="F28" s="9" t="inlineStr">
        <is>
          <t>quantité : par 10</t>
        </is>
      </c>
      <c r="G28" s="9" t="n">
        <v>20</v>
      </c>
      <c r="H28" s="10" t="n"/>
      <c r="I28" s="10" t="n"/>
      <c r="J28" s="9">
        <f>G28-I28+H28</f>
        <v/>
      </c>
      <c r="K28" s="213" t="n">
        <v>16</v>
      </c>
      <c r="L28" s="84" t="inlineStr">
        <is>
          <t>seize euros</t>
        </is>
      </c>
      <c r="M28" s="195">
        <f>ROUND(G28*ROUND(K28,2),2)</f>
        <v/>
      </c>
      <c r="N28" s="196" t="n">
        <v>0.21</v>
      </c>
      <c r="O28" s="197">
        <f>ROUND(N28*ROUND(M28,2),2)</f>
        <v/>
      </c>
      <c r="P28" s="10" t="n"/>
      <c r="Q28" s="9" t="inlineStr">
        <is>
          <t>Non</t>
        </is>
      </c>
      <c r="R28" s="103" t="n">
        <v>5</v>
      </c>
    </row>
    <row r="29" ht="30.6" customHeight="1">
      <c r="A29" s="9" t="n">
        <v>19</v>
      </c>
      <c r="B29" s="82" t="inlineStr"/>
      <c r="C29" s="82" t="inlineStr"/>
      <c r="D29" s="83" t="inlineStr">
        <is>
          <t>Impression digitale quadri sur autocollant véhicule micro perforé pour vitre</t>
        </is>
      </c>
      <c r="E29" s="9" t="inlineStr">
        <is>
          <t>QP</t>
        </is>
      </c>
      <c r="F29" s="9" t="inlineStr">
        <is>
          <t>m²</t>
        </is>
      </c>
      <c r="G29" s="9" t="n">
        <v>20</v>
      </c>
      <c r="H29" s="10" t="n"/>
      <c r="I29" s="10" t="n"/>
      <c r="J29" s="9">
        <f>G29-I29+H29</f>
        <v/>
      </c>
      <c r="K29" s="213" t="n">
        <v>38</v>
      </c>
      <c r="L29" s="84" t="inlineStr">
        <is>
          <t>trente-huit euros</t>
        </is>
      </c>
      <c r="M29" s="195">
        <f>ROUND(G29*ROUND(K29,2),2)</f>
        <v/>
      </c>
      <c r="N29" s="196" t="n">
        <v>0.21</v>
      </c>
      <c r="O29" s="197">
        <f>ROUND(N29*ROUND(M29,2),2)</f>
        <v/>
      </c>
      <c r="P29" s="10" t="n"/>
      <c r="Q29" s="9" t="inlineStr">
        <is>
          <t>Non</t>
        </is>
      </c>
      <c r="R29" s="103" t="n">
        <v>5</v>
      </c>
    </row>
    <row r="30" ht="20.4" customHeight="1">
      <c r="A30" s="9" t="n">
        <v>20</v>
      </c>
      <c r="B30" s="82" t="inlineStr"/>
      <c r="C30" s="82" t="inlineStr"/>
      <c r="D30" s="83" t="inlineStr">
        <is>
          <t>Impression digitale quadri sur autocollant véhicule pour carrosserie</t>
        </is>
      </c>
      <c r="E30" s="9" t="inlineStr">
        <is>
          <t>QP</t>
        </is>
      </c>
      <c r="F30" s="9" t="inlineStr">
        <is>
          <t>m²</t>
        </is>
      </c>
      <c r="G30" s="9" t="n">
        <v>10</v>
      </c>
      <c r="H30" s="10" t="n"/>
      <c r="I30" s="10" t="n"/>
      <c r="J30" s="9">
        <f>G30-I30+H30</f>
        <v/>
      </c>
      <c r="K30" s="213" t="n">
        <v>36</v>
      </c>
      <c r="L30" s="84" t="inlineStr">
        <is>
          <t>trente-six euros</t>
        </is>
      </c>
      <c r="M30" s="195">
        <f>ROUND(G30*ROUND(K30,2),2)</f>
        <v/>
      </c>
      <c r="N30" s="196" t="n">
        <v>0.21</v>
      </c>
      <c r="O30" s="197">
        <f>ROUND(N30*ROUND(M30,2),2)</f>
        <v/>
      </c>
      <c r="P30" s="10" t="n"/>
      <c r="Q30" s="9" t="inlineStr">
        <is>
          <t>Non</t>
        </is>
      </c>
      <c r="R30" s="103" t="n">
        <v>5</v>
      </c>
    </row>
    <row r="31" ht="30.6" customHeight="1">
      <c r="A31" s="9" t="n">
        <v>21</v>
      </c>
      <c r="B31" s="82" t="inlineStr"/>
      <c r="C31" s="82" t="inlineStr"/>
      <c r="D31" s="83" t="inlineStr">
        <is>
          <t>Impression digitale quadri sur vinyle autocollant polymère pour extérieur (y compris découpe rectangle)</t>
        </is>
      </c>
      <c r="E31" s="9" t="inlineStr">
        <is>
          <t>QP</t>
        </is>
      </c>
      <c r="F31" s="9" t="inlineStr">
        <is>
          <t>m²</t>
        </is>
      </c>
      <c r="G31" s="9" t="n">
        <v>30</v>
      </c>
      <c r="H31" s="10" t="n"/>
      <c r="I31" s="10" t="n"/>
      <c r="J31" s="9">
        <f>G31-I31+H31</f>
        <v/>
      </c>
      <c r="K31" s="213" t="n">
        <v>32</v>
      </c>
      <c r="L31" s="84" t="inlineStr">
        <is>
          <t>trente-deux euros</t>
        </is>
      </c>
      <c r="M31" s="195">
        <f>ROUND(G31*ROUND(K31,2),2)</f>
        <v/>
      </c>
      <c r="N31" s="196" t="n">
        <v>0.21</v>
      </c>
      <c r="O31" s="197">
        <f>ROUND(N31*ROUND(M31,2),2)</f>
        <v/>
      </c>
      <c r="P31" s="10" t="n"/>
      <c r="Q31" s="9" t="inlineStr">
        <is>
          <t>Non</t>
        </is>
      </c>
      <c r="R31" s="103" t="n">
        <v>5</v>
      </c>
    </row>
    <row r="32" ht="40.8" customHeight="1">
      <c r="A32" s="9" t="n">
        <v>22</v>
      </c>
      <c r="B32" s="82" t="inlineStr"/>
      <c r="C32" s="82" t="inlineStr"/>
      <c r="D32" s="83" t="inlineStr">
        <is>
          <t>Vinyle autocollant pour pose extérieure sur vitrine carré 30x30 cm ou rond 30 cm diamètre impression quadri
Quantité : par 10</t>
        </is>
      </c>
      <c r="E32" s="9" t="inlineStr">
        <is>
          <t>QP</t>
        </is>
      </c>
      <c r="F32" s="9" t="inlineStr">
        <is>
          <t>pièce</t>
        </is>
      </c>
      <c r="G32" s="9" t="n">
        <v>30</v>
      </c>
      <c r="H32" s="10" t="n"/>
      <c r="I32" s="10" t="n"/>
      <c r="J32" s="9">
        <f>G32-I32+H32</f>
        <v/>
      </c>
      <c r="K32" s="213" t="n">
        <v>48</v>
      </c>
      <c r="L32" s="84" t="inlineStr">
        <is>
          <t>quarante-huit euros</t>
        </is>
      </c>
      <c r="M32" s="195">
        <f>ROUND(G32*ROUND(K32,2),2)</f>
        <v/>
      </c>
      <c r="N32" s="196" t="n">
        <v>0.21</v>
      </c>
      <c r="O32" s="197">
        <f>ROUND(N32*ROUND(M32,2),2)</f>
        <v/>
      </c>
      <c r="P32" s="10" t="n"/>
      <c r="Q32" s="9" t="inlineStr">
        <is>
          <t>Non</t>
        </is>
      </c>
      <c r="R32" s="103" t="n">
        <v>5</v>
      </c>
    </row>
    <row r="33" ht="30.6" customHeight="1">
      <c r="A33" s="9" t="n">
        <v>23</v>
      </c>
      <c r="B33" s="82" t="inlineStr"/>
      <c r="C33" s="82" t="inlineStr"/>
      <c r="D33" s="83" t="inlineStr">
        <is>
          <t>Stickers Totem : format 84x199cm - adhésif monomère mat pour le sol - quantité : par 10</t>
        </is>
      </c>
      <c r="E33" s="9" t="inlineStr">
        <is>
          <t>QP</t>
        </is>
      </c>
      <c r="F33" s="9" t="inlineStr">
        <is>
          <t>pièce</t>
        </is>
      </c>
      <c r="G33" s="9" t="n">
        <v>45</v>
      </c>
      <c r="H33" s="10" t="n"/>
      <c r="I33" s="10" t="n"/>
      <c r="J33" s="9">
        <f>G33-I33+H33</f>
        <v/>
      </c>
      <c r="K33" s="213" t="n">
        <v>75</v>
      </c>
      <c r="L33" s="84" t="inlineStr">
        <is>
          <t>soixante-quinze euros</t>
        </is>
      </c>
      <c r="M33" s="195">
        <f>ROUND(G33*ROUND(K33,2),2)</f>
        <v/>
      </c>
      <c r="N33" s="196" t="n">
        <v>0.21</v>
      </c>
      <c r="O33" s="197">
        <f>ROUND(N33*ROUND(M33,2),2)</f>
        <v/>
      </c>
      <c r="P33" s="10" t="inlineStr">
        <is>
          <t>Vinyle monomère removable, laminé brillant, coupe droite, conformément au CSC (partie 2).</t>
        </is>
      </c>
      <c r="Q33" s="9" t="inlineStr">
        <is>
          <t>Non</t>
        </is>
      </c>
      <c r="R33" s="103" t="n">
        <v>6</v>
      </c>
    </row>
    <row r="34" ht="20.4" customHeight="1">
      <c r="A34" s="9" t="n">
        <v>24</v>
      </c>
      <c r="B34" s="82" t="inlineStr"/>
      <c r="C34" s="82" t="inlineStr"/>
      <c r="D34" s="83" t="inlineStr">
        <is>
          <t>Placement des stickers : prestation pour la pose</t>
        </is>
      </c>
      <c r="E34" s="9" t="inlineStr">
        <is>
          <t>QP</t>
        </is>
      </c>
      <c r="F34" s="9" t="inlineStr">
        <is>
          <t>pièce</t>
        </is>
      </c>
      <c r="G34" s="9" t="n">
        <v>1</v>
      </c>
      <c r="H34" s="10" t="n"/>
      <c r="I34" s="10" t="n"/>
      <c r="J34" s="9">
        <f>G34-I34+H34</f>
        <v/>
      </c>
      <c r="K34" s="213" t="n">
        <v>55</v>
      </c>
      <c r="L34" s="84" t="inlineStr">
        <is>
          <t>cinquante-cinq euros</t>
        </is>
      </c>
      <c r="M34" s="195">
        <f>ROUND(G34*ROUND(K34,2),2)</f>
        <v/>
      </c>
      <c r="N34" s="196" t="n">
        <v>0.21</v>
      </c>
      <c r="O34" s="197">
        <f>ROUND(N34*ROUND(M34,2),2)</f>
        <v/>
      </c>
      <c r="P34" s="10" t="n"/>
      <c r="Q34" s="9" t="inlineStr">
        <is>
          <t>Non</t>
        </is>
      </c>
      <c r="R34" s="103" t="n">
        <v>5</v>
      </c>
    </row>
    <row r="35" ht="20.4" customHeight="1">
      <c r="A35" s="9" t="n">
        <v>25</v>
      </c>
      <c r="B35" s="82" t="inlineStr"/>
      <c r="C35" s="82" t="inlineStr"/>
      <c r="D35" s="83" t="inlineStr">
        <is>
          <t>Enlèvement des stickers : prestation de démontage</t>
        </is>
      </c>
      <c r="E35" s="9" t="inlineStr">
        <is>
          <t>QP</t>
        </is>
      </c>
      <c r="F35" s="9" t="inlineStr">
        <is>
          <t>pièce</t>
        </is>
      </c>
      <c r="G35" s="9" t="n">
        <v>1</v>
      </c>
      <c r="H35" s="10" t="n"/>
      <c r="I35" s="10" t="n"/>
      <c r="J35" s="9">
        <f>G35-I35+H35</f>
        <v/>
      </c>
      <c r="K35" s="213" t="n">
        <v>45</v>
      </c>
      <c r="L35" s="84" t="inlineStr">
        <is>
          <t>quarante-cinq euros</t>
        </is>
      </c>
      <c r="M35" s="195">
        <f>ROUND(G35*ROUND(K35,2),2)</f>
        <v/>
      </c>
      <c r="N35" s="196" t="n">
        <v>0.21</v>
      </c>
      <c r="O35" s="197">
        <f>ROUND(N35*ROUND(M35,2),2)</f>
        <v/>
      </c>
      <c r="P35" s="10" t="n"/>
      <c r="Q35" s="9" t="inlineStr">
        <is>
          <t>Non</t>
        </is>
      </c>
      <c r="R35" s="103" t="n">
        <v>5</v>
      </c>
    </row>
    <row r="36" ht="13.2" customFormat="1" customHeight="1" s="71">
      <c r="A36" s="8" t="n"/>
      <c r="B36" s="76" t="inlineStr"/>
      <c r="C36" s="76" t="inlineStr"/>
      <c r="D36" s="77" t="inlineStr">
        <is>
          <t>BEACH FLAG</t>
        </is>
      </c>
      <c r="E36" s="8" t="inlineStr"/>
      <c r="F36" s="8" t="n"/>
      <c r="G36" s="8" t="n"/>
      <c r="H36" s="11" t="n"/>
      <c r="I36" s="11" t="n"/>
      <c r="J36" s="8" t="n"/>
      <c r="K36" s="198" t="n"/>
      <c r="L36" s="78" t="n"/>
      <c r="M36" s="210" t="n"/>
      <c r="N36" s="211" t="n"/>
      <c r="O36" s="212" t="n"/>
      <c r="P36" s="11" t="n"/>
      <c r="Q36" s="8" t="n"/>
      <c r="R36" s="102" t="n"/>
    </row>
    <row r="37" ht="61.2" customHeight="1">
      <c r="A37" s="9" t="n">
        <v>26</v>
      </c>
      <c r="B37" s="82" t="inlineStr"/>
      <c r="C37" s="82" t="inlineStr"/>
      <c r="D37" s="83" t="inlineStr">
        <is>
          <t>Drapeau L 85 x H 260 cm - Hauteur totale avec mât (tube en alu) : 350 cm - Potence horizontale - Toile cousue avec fourreaux vertical et horizontal - Pied en croix - Mousqueton en bas de l'ourlet - Sac de transport</t>
        </is>
      </c>
      <c r="E37" s="9" t="inlineStr">
        <is>
          <t>QP</t>
        </is>
      </c>
      <c r="F37" s="9" t="inlineStr">
        <is>
          <t>pièce</t>
        </is>
      </c>
      <c r="G37" s="9" t="n">
        <v>20</v>
      </c>
      <c r="H37" s="10" t="n"/>
      <c r="I37" s="10" t="n"/>
      <c r="J37" s="9">
        <f>G37-I37+H37</f>
        <v/>
      </c>
      <c r="K37" s="213" t="n">
        <v>75</v>
      </c>
      <c r="L37" s="84" t="inlineStr">
        <is>
          <t>soixante-quinze euros</t>
        </is>
      </c>
      <c r="M37" s="195">
        <f>ROUND(G37*ROUND(K37,2),2)</f>
        <v/>
      </c>
      <c r="N37" s="196" t="n">
        <v>0.21</v>
      </c>
      <c r="O37" s="197">
        <f>ROUND(N37*ROUND(M37,2),2)</f>
        <v/>
      </c>
      <c r="P37" s="10" t="n"/>
      <c r="Q37" s="9" t="inlineStr">
        <is>
          <t>Non</t>
        </is>
      </c>
      <c r="R37" s="103" t="n">
        <v>10</v>
      </c>
    </row>
    <row r="38" ht="13.2" customFormat="1" customHeight="1" s="71">
      <c r="A38" s="8" t="n"/>
      <c r="B38" s="76" t="inlineStr"/>
      <c r="C38" s="76" t="inlineStr"/>
      <c r="D38" s="77" t="inlineStr">
        <is>
          <t>PANNEAUX</t>
        </is>
      </c>
      <c r="E38" s="8" t="inlineStr"/>
      <c r="F38" s="8" t="n"/>
      <c r="G38" s="8" t="n"/>
      <c r="H38" s="11" t="n"/>
      <c r="I38" s="11" t="n"/>
      <c r="J38" s="8" t="n"/>
      <c r="K38" s="198" t="n"/>
      <c r="L38" s="78" t="n"/>
      <c r="M38" s="210" t="n"/>
      <c r="N38" s="211" t="n"/>
      <c r="O38" s="212" t="n"/>
      <c r="P38" s="11" t="n"/>
      <c r="Q38" s="8" t="n"/>
      <c r="R38" s="102" t="n"/>
    </row>
    <row r="39" ht="30.6" customHeight="1">
      <c r="A39" s="9" t="n">
        <v>27</v>
      </c>
      <c r="B39" s="82" t="inlineStr"/>
      <c r="C39" s="82" t="inlineStr"/>
      <c r="D39" s="83" t="inlineStr">
        <is>
          <t>Biprint : L60 x H910cm - impression quadrichromie recto sur panneau biprint de 3 mm</t>
        </is>
      </c>
      <c r="E39" s="9" t="inlineStr">
        <is>
          <t>QP</t>
        </is>
      </c>
      <c r="F39" s="9" t="inlineStr">
        <is>
          <t>pièce</t>
        </is>
      </c>
      <c r="G39" s="9" t="n">
        <v>20</v>
      </c>
      <c r="H39" s="10" t="n"/>
      <c r="I39" s="10" t="n"/>
      <c r="J39" s="9">
        <f>G39-I39+H39</f>
        <v/>
      </c>
      <c r="K39" s="213" t="n">
        <v>22</v>
      </c>
      <c r="L39" s="84" t="inlineStr">
        <is>
          <t>vingt-deux euros</t>
        </is>
      </c>
      <c r="M39" s="195">
        <f>ROUND(G39*ROUND(K39,2),2)</f>
        <v/>
      </c>
      <c r="N39" s="196" t="n">
        <v>0.21</v>
      </c>
      <c r="O39" s="197">
        <f>ROUND(N39*ROUND(M39,2),2)</f>
        <v/>
      </c>
      <c r="P39" s="10" t="inlineStr">
        <is>
          <t>Hauteur 90 cm retenue (L60 x H90 cm) conformément au CSC (partie 2).</t>
        </is>
      </c>
      <c r="Q39" s="9" t="inlineStr">
        <is>
          <t>Non</t>
        </is>
      </c>
      <c r="R39" s="103" t="n">
        <v>6</v>
      </c>
    </row>
    <row r="40" ht="30.6" customHeight="1">
      <c r="A40" s="9" t="n">
        <v>28</v>
      </c>
      <c r="B40" s="82" t="inlineStr"/>
      <c r="C40" s="82" t="inlineStr"/>
      <c r="D40" s="83" t="inlineStr">
        <is>
          <t>Ronds : 40x40cm - impression quadrichromie recto sur panneau biprint de 3 mm</t>
        </is>
      </c>
      <c r="E40" s="9" t="inlineStr">
        <is>
          <t>QP</t>
        </is>
      </c>
      <c r="F40" s="9" t="inlineStr">
        <is>
          <t>pièce</t>
        </is>
      </c>
      <c r="G40" s="9" t="n">
        <v>20</v>
      </c>
      <c r="H40" s="10" t="n"/>
      <c r="I40" s="10" t="n"/>
      <c r="J40" s="9">
        <f>G40-I40+H40</f>
        <v/>
      </c>
      <c r="K40" s="213" t="n">
        <v>14</v>
      </c>
      <c r="L40" s="84" t="inlineStr">
        <is>
          <t>quatorze euros</t>
        </is>
      </c>
      <c r="M40" s="195">
        <f>ROUND(G40*ROUND(K40,2),2)</f>
        <v/>
      </c>
      <c r="N40" s="196" t="n">
        <v>0.21</v>
      </c>
      <c r="O40" s="197">
        <f>ROUND(N40*ROUND(M40,2),2)</f>
        <v/>
      </c>
      <c r="P40" s="10" t="inlineStr">
        <is>
          <t>Format rond 40 cm de diamètre.</t>
        </is>
      </c>
      <c r="Q40" s="9" t="inlineStr">
        <is>
          <t>Non</t>
        </is>
      </c>
      <c r="R40" s="103" t="n">
        <v>6</v>
      </c>
    </row>
    <row r="41" ht="51" customHeight="1">
      <c r="A41" s="9" t="n">
        <v>29</v>
      </c>
      <c r="B41" s="82" t="inlineStr"/>
      <c r="C41" s="82" t="inlineStr"/>
      <c r="D41" s="83" t="inlineStr">
        <is>
          <t>Panneaux alvéolaires 50x20cm - 3,5cm d'épaisseur - pas de système d'accrochage - 4 coins droits - impression satinée UV - façonnage - production sur mesure</t>
        </is>
      </c>
      <c r="E41" s="9" t="inlineStr">
        <is>
          <t>QP</t>
        </is>
      </c>
      <c r="F41" s="9" t="inlineStr">
        <is>
          <t>pièce</t>
        </is>
      </c>
      <c r="G41" s="9" t="n">
        <v>20</v>
      </c>
      <c r="H41" s="10" t="n"/>
      <c r="I41" s="10" t="n"/>
      <c r="J41" s="9">
        <f>G41-I41+H41</f>
        <v/>
      </c>
      <c r="K41" s="213" t="n">
        <v>9</v>
      </c>
      <c r="L41" s="84" t="inlineStr">
        <is>
          <t>neuf euros</t>
        </is>
      </c>
      <c r="M41" s="195">
        <f>ROUND(G41*ROUND(K41,2),2)</f>
        <v/>
      </c>
      <c r="N41" s="196" t="n">
        <v>0.21</v>
      </c>
      <c r="O41" s="197">
        <f>ROUND(N41*ROUND(M41,2),2)</f>
        <v/>
      </c>
      <c r="P41" s="10" t="n"/>
      <c r="Q41" s="9" t="inlineStr">
        <is>
          <t>Non</t>
        </is>
      </c>
      <c r="R41" s="103" t="n">
        <v>6</v>
      </c>
    </row>
    <row r="42" ht="51" customHeight="1">
      <c r="A42" s="9" t="n">
        <v>30</v>
      </c>
      <c r="B42" s="82" t="inlineStr"/>
      <c r="C42" s="82" t="inlineStr"/>
      <c r="D42" s="83" t="inlineStr">
        <is>
          <t>Panneaux alvéolaires 59,4x84,1cm - 3,5cm d'épaisseur - pas de système d'accrochage - 4 coins droits - impression satinée UV - façonnage - production sur mesure</t>
        </is>
      </c>
      <c r="E42" s="9" t="inlineStr">
        <is>
          <t>QP</t>
        </is>
      </c>
      <c r="F42" s="9" t="inlineStr">
        <is>
          <t>pièce</t>
        </is>
      </c>
      <c r="G42" s="9" t="n">
        <v>20</v>
      </c>
      <c r="H42" s="10" t="n"/>
      <c r="I42" s="10" t="n"/>
      <c r="J42" s="9">
        <f>G42-I42+H42</f>
        <v/>
      </c>
      <c r="K42" s="213" t="n">
        <v>24</v>
      </c>
      <c r="L42" s="84" t="inlineStr">
        <is>
          <t>vingt-quatre euros</t>
        </is>
      </c>
      <c r="M42" s="195">
        <f>ROUND(G42*ROUND(K42,2),2)</f>
        <v/>
      </c>
      <c r="N42" s="196" t="n">
        <v>0.21</v>
      </c>
      <c r="O42" s="197">
        <f>ROUND(N42*ROUND(M42,2),2)</f>
        <v/>
      </c>
      <c r="P42" s="10" t="n"/>
      <c r="Q42" s="9" t="inlineStr">
        <is>
          <t>Non</t>
        </is>
      </c>
      <c r="R42" s="103" t="n">
        <v>6</v>
      </c>
    </row>
    <row r="43" ht="20.4" customHeight="1">
      <c r="A43" s="9" t="n">
        <v>31</v>
      </c>
      <c r="B43" s="82" t="inlineStr"/>
      <c r="C43" s="82" t="inlineStr"/>
      <c r="D43" s="83" t="inlineStr">
        <is>
          <t>Élastiques à boule de 5mm de diamètre et de longueur hors boule 15cm</t>
        </is>
      </c>
      <c r="E43" s="9" t="inlineStr">
        <is>
          <t>QP</t>
        </is>
      </c>
      <c r="F43" s="9" t="inlineStr">
        <is>
          <t>pièce</t>
        </is>
      </c>
      <c r="G43" s="9" t="n">
        <v>50</v>
      </c>
      <c r="H43" s="10" t="n"/>
      <c r="I43" s="10" t="n"/>
      <c r="J43" s="9">
        <f>G43-I43+H43</f>
        <v/>
      </c>
      <c r="K43" s="213" t="n">
        <v>0.45</v>
      </c>
      <c r="L43" s="84" t="inlineStr">
        <is>
          <t>zéro euro et quarante-cinq cents</t>
        </is>
      </c>
      <c r="M43" s="195">
        <f>ROUND(G43*ROUND(K43,2),2)</f>
        <v/>
      </c>
      <c r="N43" s="196" t="n">
        <v>0.21</v>
      </c>
      <c r="O43" s="197">
        <f>ROUND(N43*ROUND(M43,2),2)</f>
        <v/>
      </c>
      <c r="P43" s="10" t="n"/>
      <c r="Q43" s="9" t="inlineStr">
        <is>
          <t>Non</t>
        </is>
      </c>
      <c r="R43" s="103" t="n">
        <v>3</v>
      </c>
    </row>
    <row r="44" ht="13.2" customFormat="1" customHeight="1" s="71">
      <c r="A44" s="8" t="n"/>
      <c r="B44" s="76" t="inlineStr"/>
      <c r="C44" s="76" t="inlineStr"/>
      <c r="D44" s="77" t="inlineStr">
        <is>
          <t>PLACEMENT EVENTUEL</t>
        </is>
      </c>
      <c r="E44" s="8" t="inlineStr"/>
      <c r="F44" s="8" t="n"/>
      <c r="G44" s="8" t="n"/>
      <c r="H44" s="11" t="n"/>
      <c r="I44" s="11" t="n"/>
      <c r="J44" s="8" t="n"/>
      <c r="K44" s="198" t="n"/>
      <c r="L44" s="78" t="n"/>
      <c r="M44" s="210" t="n"/>
      <c r="N44" s="211" t="n"/>
      <c r="O44" s="212" t="n"/>
      <c r="P44" s="11" t="n"/>
      <c r="Q44" s="8" t="n"/>
      <c r="R44" s="102" t="n"/>
    </row>
    <row r="45">
      <c r="A45" s="9" t="n">
        <v>32</v>
      </c>
      <c r="B45" s="82" t="inlineStr"/>
      <c r="C45" s="82" t="inlineStr"/>
      <c r="D45" s="83" t="inlineStr">
        <is>
          <t>Frais de déplacement aller- retour</t>
        </is>
      </c>
      <c r="E45" s="9" t="inlineStr">
        <is>
          <t>QP</t>
        </is>
      </c>
      <c r="F45" s="9" t="inlineStr">
        <is>
          <t>forfait</t>
        </is>
      </c>
      <c r="G45" s="9" t="n">
        <v>1</v>
      </c>
      <c r="H45" s="10" t="n"/>
      <c r="I45" s="10" t="n"/>
      <c r="J45" s="9">
        <f>G45-I45+H45</f>
        <v/>
      </c>
      <c r="K45" s="213" t="n">
        <v>45</v>
      </c>
      <c r="L45" s="84" t="inlineStr">
        <is>
          <t>quarante-cinq euros</t>
        </is>
      </c>
      <c r="M45" s="195">
        <f>ROUND(G45*ROUND(K45,2),2)</f>
        <v/>
      </c>
      <c r="N45" s="196" t="n">
        <v>0.21</v>
      </c>
      <c r="O45" s="197">
        <f>ROUND(N45*ROUND(M45,2),2)</f>
        <v/>
      </c>
      <c r="P45" s="10" t="n"/>
      <c r="Q45" s="9" t="inlineStr">
        <is>
          <t>Non</t>
        </is>
      </c>
      <c r="R45" s="103" t="n">
        <v>3</v>
      </c>
    </row>
    <row r="46">
      <c r="A46" s="9" t="n">
        <v>33</v>
      </c>
      <c r="B46" s="82" t="inlineStr"/>
      <c r="C46" s="82" t="inlineStr"/>
      <c r="D46" s="83" t="inlineStr">
        <is>
          <t>Tarif horaire</t>
        </is>
      </c>
      <c r="E46" s="9" t="inlineStr">
        <is>
          <t>QP</t>
        </is>
      </c>
      <c r="F46" s="9" t="inlineStr">
        <is>
          <t>heure</t>
        </is>
      </c>
      <c r="G46" s="9" t="n">
        <v>1</v>
      </c>
      <c r="H46" s="10" t="n"/>
      <c r="I46" s="10" t="n"/>
      <c r="J46" s="9">
        <f>G46-I46+H46</f>
        <v/>
      </c>
      <c r="K46" s="213" t="n">
        <v>48</v>
      </c>
      <c r="L46" s="84" t="inlineStr">
        <is>
          <t>quarante-huit euros</t>
        </is>
      </c>
      <c r="M46" s="195">
        <f>ROUND(G46*ROUND(K46,2),2)</f>
        <v/>
      </c>
      <c r="N46" s="196" t="n">
        <v>0.21</v>
      </c>
      <c r="O46" s="197">
        <f>ROUND(N46*ROUND(M46,2),2)</f>
        <v/>
      </c>
      <c r="P46" s="10" t="n"/>
      <c r="Q46" s="9" t="inlineStr">
        <is>
          <t>Non</t>
        </is>
      </c>
      <c r="R46" s="103" t="n">
        <v>3</v>
      </c>
    </row>
    <row r="47">
      <c r="A47" s="9" t="n"/>
      <c r="B47" s="85" t="n"/>
      <c r="C47" s="85" t="n"/>
      <c r="D47" s="49" t="n"/>
      <c r="E47" s="9" t="n"/>
      <c r="F47" s="9" t="n"/>
      <c r="G47" s="9" t="n"/>
      <c r="H47" s="10" t="n"/>
      <c r="I47" s="10" t="n"/>
      <c r="J47" s="9" t="n"/>
      <c r="K47" s="194" t="n"/>
      <c r="L47" s="84" t="n"/>
      <c r="M47" s="195" t="n"/>
      <c r="N47" s="196" t="n"/>
      <c r="O47" s="197" t="n"/>
      <c r="P47" s="10" t="n"/>
      <c r="Q47" s="9" t="n"/>
      <c r="R47" s="103" t="n"/>
    </row>
    <row r="48" ht="15" customHeight="1">
      <c r="A48" s="157" t="inlineStr">
        <is>
          <t>Total HTVA :</t>
        </is>
      </c>
      <c r="B48" s="214" t="n"/>
      <c r="C48" s="214" t="n"/>
      <c r="D48" s="214" t="n"/>
      <c r="E48" s="214" t="n"/>
      <c r="F48" s="214" t="n"/>
      <c r="G48" s="214" t="n"/>
      <c r="H48" s="214" t="n"/>
      <c r="I48" s="214" t="n"/>
      <c r="J48" s="214" t="n"/>
      <c r="K48" s="214" t="n"/>
      <c r="L48" s="214" t="n"/>
      <c r="M48" s="206">
        <f>SUM(M6:M46)</f>
        <v/>
      </c>
      <c r="N48" s="215" t="n"/>
      <c r="O48" s="208" t="n"/>
      <c r="P48" s="158" t="n"/>
      <c r="Q48" s="158" t="n"/>
      <c r="R48" s="101" t="n"/>
    </row>
    <row r="49" ht="15" customHeight="1">
      <c r="A49" s="162" t="inlineStr">
        <is>
          <t>TVA :</t>
        </is>
      </c>
      <c r="B49" s="214" t="n"/>
      <c r="C49" s="214" t="n"/>
      <c r="D49" s="214" t="n"/>
      <c r="E49" s="214" t="n"/>
      <c r="F49" s="214" t="n"/>
      <c r="G49" s="214" t="n"/>
      <c r="H49" s="214" t="n"/>
      <c r="I49" s="214" t="n"/>
      <c r="J49" s="214" t="n"/>
      <c r="K49" s="214" t="n"/>
      <c r="L49" s="214" t="n"/>
      <c r="M49" s="216">
        <f>ROUND(SUM(O6:O46),2)</f>
        <v/>
      </c>
      <c r="N49" s="217" t="n"/>
      <c r="O49" s="197" t="n"/>
      <c r="P49" s="163" t="n"/>
      <c r="Q49" s="163" t="n"/>
      <c r="R49" s="103" t="n"/>
    </row>
    <row r="50" ht="15" customHeight="1">
      <c r="A50" s="157" t="inlineStr">
        <is>
          <t>Total TVAC :</t>
        </is>
      </c>
      <c r="B50" s="214" t="n"/>
      <c r="C50" s="214" t="n"/>
      <c r="D50" s="214" t="n"/>
      <c r="E50" s="214" t="n"/>
      <c r="F50" s="214" t="n"/>
      <c r="G50" s="214" t="n"/>
      <c r="H50" s="214" t="n"/>
      <c r="I50" s="214" t="n"/>
      <c r="J50" s="214" t="n"/>
      <c r="K50" s="214" t="n"/>
      <c r="L50" s="214" t="n"/>
      <c r="M50" s="206">
        <f>M48+M49</f>
        <v/>
      </c>
      <c r="N50" s="215" t="n"/>
      <c r="O50" s="208" t="n"/>
      <c r="P50" s="158" t="n"/>
      <c r="Q50" s="158" t="n"/>
      <c r="R50" s="101" t="n"/>
    </row>
    <row r="51">
      <c r="A51" s="167" t="inlineStr">
        <is>
          <t>Les prix unitaires doivent être mentionnés avec 2 chiffres après la virgule. 
Le montant total HTVA (la quantité de produits x le prix unitaire) doit être à chaque fois arrondis à 2 chiffres après la virgule.</t>
        </is>
      </c>
    </row>
    <row r="52"/>
    <row r="53"/>
    <row r="54"/>
    <row r="55">
      <c r="A55" s="143" t="inlineStr">
        <is>
          <t>Vu, vérifié et complété avec les prix unitaires, les totaux partiels et le total global qui ont servi à déterminer le montant de mon offre de ce jour, pour être joint à mon formulaire d’offre.
Fait à .......................................... le ......................................................                  Fonction : ......................................................
Nom et prénom : ....................................................................</t>
        </is>
      </c>
      <c r="B55" s="214" t="n"/>
      <c r="C55" s="214" t="n"/>
      <c r="D55" s="214" t="n"/>
      <c r="E55" s="214" t="n"/>
      <c r="F55" s="214" t="n"/>
      <c r="G55" s="214" t="n"/>
      <c r="H55" s="214" t="n"/>
      <c r="I55" s="214" t="n"/>
      <c r="J55" s="214" t="n"/>
      <c r="K55" s="214" t="n"/>
      <c r="L55" s="214" t="n"/>
      <c r="M55" s="214" t="n"/>
      <c r="N55" s="214" t="n"/>
      <c r="O55" s="214" t="n"/>
      <c r="P55" s="214" t="n"/>
      <c r="Q55" s="214" t="n"/>
      <c r="R55" s="214" t="n"/>
    </row>
    <row r="56">
      <c r="A56" s="214" t="n"/>
      <c r="B56" s="214" t="n"/>
      <c r="C56" s="214" t="n"/>
      <c r="D56" s="214" t="n"/>
      <c r="E56" s="214" t="n"/>
      <c r="F56" s="214" t="n"/>
      <c r="G56" s="214" t="n"/>
      <c r="H56" s="214" t="n"/>
      <c r="I56" s="214" t="n"/>
      <c r="J56" s="214" t="n"/>
      <c r="K56" s="214" t="n"/>
      <c r="L56" s="214" t="n"/>
      <c r="M56" s="214" t="n"/>
      <c r="N56" s="214" t="n"/>
      <c r="O56" s="214" t="n"/>
      <c r="P56" s="214" t="n"/>
      <c r="Q56" s="214" t="n"/>
      <c r="R56" s="214" t="n"/>
    </row>
    <row r="57">
      <c r="A57" s="214" t="n"/>
      <c r="B57" s="214" t="n"/>
      <c r="C57" s="214" t="n"/>
      <c r="D57" s="214" t="n"/>
      <c r="E57" s="214" t="n"/>
      <c r="F57" s="214" t="n"/>
      <c r="G57" s="214" t="n"/>
      <c r="H57" s="214" t="n"/>
      <c r="I57" s="214" t="n"/>
      <c r="J57" s="214" t="n"/>
      <c r="K57" s="214" t="n"/>
      <c r="L57" s="214" t="n"/>
      <c r="M57" s="214" t="n"/>
      <c r="N57" s="214" t="n"/>
      <c r="O57" s="214" t="n"/>
      <c r="P57" s="214" t="n"/>
      <c r="Q57" s="214" t="n"/>
      <c r="R57" s="214" t="n"/>
    </row>
    <row r="58">
      <c r="A58" s="214" t="n"/>
      <c r="B58" s="214" t="n"/>
      <c r="C58" s="214" t="n"/>
      <c r="D58" s="214" t="n"/>
      <c r="E58" s="214" t="n"/>
      <c r="F58" s="214" t="n"/>
      <c r="G58" s="214" t="n"/>
      <c r="H58" s="214" t="n"/>
      <c r="I58" s="214" t="n"/>
      <c r="J58" s="214" t="n"/>
      <c r="K58" s="214" t="n"/>
      <c r="L58" s="214" t="n"/>
      <c r="M58" s="214" t="n"/>
      <c r="N58" s="214" t="n"/>
      <c r="O58" s="214" t="n"/>
      <c r="P58" s="214" t="n"/>
      <c r="Q58" s="214" t="n"/>
      <c r="R58" s="214" t="n"/>
    </row>
    <row r="59">
      <c r="A59" s="214" t="n"/>
      <c r="B59" s="214" t="n"/>
      <c r="C59" s="214" t="n"/>
      <c r="D59" s="214" t="n"/>
      <c r="E59" s="214" t="n"/>
      <c r="F59" s="214" t="n"/>
      <c r="G59" s="214" t="n"/>
      <c r="H59" s="214" t="n"/>
      <c r="I59" s="214" t="n"/>
      <c r="J59" s="214" t="n"/>
      <c r="K59" s="214" t="n"/>
      <c r="L59" s="214" t="n"/>
      <c r="M59" s="214" t="n"/>
      <c r="N59" s="214" t="n"/>
      <c r="O59" s="214" t="n"/>
      <c r="P59" s="214" t="n"/>
      <c r="Q59" s="214" t="n"/>
      <c r="R59" s="214" t="n"/>
    </row>
    <row r="60">
      <c r="A60" s="214" t="n"/>
      <c r="B60" s="214" t="n"/>
      <c r="C60" s="214" t="n"/>
      <c r="D60" s="214" t="n"/>
      <c r="E60" s="214" t="n"/>
      <c r="F60" s="214" t="n"/>
      <c r="G60" s="214" t="n"/>
      <c r="H60" s="214" t="n"/>
      <c r="I60" s="214" t="n"/>
      <c r="J60" s="214" t="n"/>
      <c r="K60" s="214" t="n"/>
      <c r="L60" s="214" t="n"/>
      <c r="M60" s="214" t="n"/>
      <c r="N60" s="214" t="n"/>
      <c r="O60" s="214" t="n"/>
      <c r="P60" s="214" t="n"/>
      <c r="Q60" s="214" t="n"/>
      <c r="R60" s="214" t="n"/>
    </row>
    <row r="61">
      <c r="A61" s="214" t="n"/>
      <c r="B61" s="214" t="n"/>
      <c r="C61" s="214" t="n"/>
      <c r="D61" s="214" t="n"/>
      <c r="E61" s="214" t="n"/>
      <c r="F61" s="214" t="n"/>
      <c r="G61" s="214" t="n"/>
      <c r="H61" s="214" t="n"/>
      <c r="I61" s="214" t="n"/>
      <c r="J61" s="214" t="n"/>
      <c r="K61" s="214" t="n"/>
      <c r="L61" s="214" t="n"/>
      <c r="M61" s="214" t="n"/>
      <c r="N61" s="214" t="n"/>
      <c r="O61" s="214" t="n"/>
      <c r="P61" s="214" t="n"/>
      <c r="Q61" s="214" t="n"/>
      <c r="R61" s="214" t="n"/>
    </row>
    <row r="62">
      <c r="A62" s="214" t="n"/>
      <c r="B62" s="214" t="n"/>
      <c r="C62" s="214" t="n"/>
      <c r="D62" s="214" t="n"/>
      <c r="E62" s="214" t="n"/>
      <c r="F62" s="214" t="n"/>
      <c r="G62" s="214" t="n"/>
      <c r="H62" s="214" t="n"/>
      <c r="I62" s="214" t="n"/>
      <c r="J62" s="214" t="n"/>
      <c r="K62" s="214" t="n"/>
      <c r="L62" s="214" t="n"/>
      <c r="M62" s="214" t="n"/>
      <c r="N62" s="214" t="n"/>
      <c r="O62" s="214" t="n"/>
      <c r="P62" s="214" t="n"/>
      <c r="Q62" s="214" t="n"/>
      <c r="R62" s="214" t="n"/>
    </row>
    <row r="63">
      <c r="A63" s="214" t="n"/>
      <c r="B63" s="214" t="n"/>
      <c r="C63" s="214" t="n"/>
      <c r="D63" s="214" t="n"/>
      <c r="E63" s="214" t="n"/>
      <c r="F63" s="214" t="n"/>
      <c r="G63" s="214" t="n"/>
      <c r="H63" s="214" t="n"/>
      <c r="I63" s="214" t="n"/>
      <c r="J63" s="214" t="n"/>
      <c r="K63" s="214" t="n"/>
      <c r="L63" s="214" t="n"/>
      <c r="M63" s="214" t="n"/>
      <c r="N63" s="214" t="n"/>
      <c r="O63" s="214" t="n"/>
      <c r="P63" s="214" t="n"/>
      <c r="Q63" s="214" t="n"/>
      <c r="R63" s="214" t="n"/>
    </row>
    <row r="64">
      <c r="A64" s="214" t="n"/>
      <c r="B64" s="214" t="n"/>
      <c r="C64" s="214" t="n"/>
      <c r="D64" s="214" t="n"/>
      <c r="E64" s="214" t="n"/>
      <c r="F64" s="214" t="n"/>
      <c r="G64" s="214" t="n"/>
      <c r="H64" s="214" t="n"/>
      <c r="I64" s="214" t="n"/>
      <c r="J64" s="214" t="n"/>
      <c r="K64" s="214" t="n"/>
      <c r="L64" s="214" t="n"/>
      <c r="M64" s="214" t="n"/>
      <c r="N64" s="214" t="n"/>
      <c r="O64" s="214" t="n"/>
      <c r="P64" s="214" t="n"/>
      <c r="Q64" s="214" t="n"/>
      <c r="R64" s="214" t="n"/>
    </row>
    <row r="65">
      <c r="A65" s="214" t="n"/>
      <c r="B65" s="214" t="n"/>
      <c r="C65" s="214" t="n"/>
      <c r="D65" s="214" t="n"/>
      <c r="E65" s="214" t="n"/>
      <c r="F65" s="214" t="n"/>
      <c r="G65" s="214" t="n"/>
      <c r="H65" s="214" t="n"/>
      <c r="I65" s="214" t="n"/>
      <c r="J65" s="214" t="n"/>
      <c r="K65" s="214" t="n"/>
      <c r="L65" s="214" t="n"/>
      <c r="M65" s="214" t="n"/>
      <c r="N65" s="214" t="n"/>
      <c r="O65" s="214" t="n"/>
      <c r="P65" s="214" t="n"/>
      <c r="Q65" s="214" t="n"/>
      <c r="R65" s="214" t="n"/>
    </row>
    <row r="66">
      <c r="A66" s="214" t="n"/>
      <c r="B66" s="214" t="n"/>
      <c r="C66" s="214" t="n"/>
      <c r="D66" s="214" t="n"/>
      <c r="E66" s="214" t="n"/>
      <c r="F66" s="214" t="n"/>
      <c r="G66" s="214" t="n"/>
      <c r="H66" s="214" t="n"/>
      <c r="I66" s="214" t="n"/>
      <c r="J66" s="214" t="n"/>
      <c r="K66" s="214" t="n"/>
      <c r="L66" s="214" t="n"/>
      <c r="M66" s="214" t="n"/>
      <c r="N66" s="214" t="n"/>
      <c r="O66" s="214" t="n"/>
      <c r="P66" s="214" t="n"/>
      <c r="Q66" s="214" t="n"/>
      <c r="R66" s="214" t="n"/>
    </row>
    <row r="67">
      <c r="A67" s="214" t="n"/>
      <c r="B67" s="214" t="n"/>
      <c r="C67" s="214" t="n"/>
      <c r="D67" s="214" t="n"/>
      <c r="E67" s="214" t="n"/>
      <c r="F67" s="214" t="n"/>
      <c r="G67" s="214" t="n"/>
      <c r="H67" s="214" t="n"/>
      <c r="I67" s="214" t="n"/>
      <c r="J67" s="214" t="n"/>
      <c r="K67" s="214" t="n"/>
      <c r="L67" s="214" t="n"/>
      <c r="M67" s="214" t="n"/>
      <c r="N67" s="214" t="n"/>
      <c r="O67" s="214" t="n"/>
      <c r="P67" s="214" t="n"/>
      <c r="Q67" s="214" t="n"/>
      <c r="R67" s="214" t="n"/>
    </row>
    <row r="68">
      <c r="A68" s="214" t="n"/>
      <c r="B68" s="214" t="n"/>
      <c r="C68" s="214" t="n"/>
      <c r="D68" s="214" t="n"/>
      <c r="E68" s="214" t="n"/>
      <c r="F68" s="214" t="n"/>
      <c r="G68" s="214" t="n"/>
      <c r="H68" s="214" t="n"/>
      <c r="I68" s="214" t="n"/>
      <c r="J68" s="214" t="n"/>
      <c r="K68" s="214" t="n"/>
      <c r="L68" s="214" t="n"/>
      <c r="M68" s="214" t="n"/>
      <c r="N68" s="214" t="n"/>
      <c r="O68" s="214" t="n"/>
      <c r="P68" s="214" t="n"/>
      <c r="Q68" s="214" t="n"/>
      <c r="R68" s="214" t="n"/>
    </row>
    <row r="69">
      <c r="A69" s="214" t="n"/>
      <c r="B69" s="214" t="n"/>
      <c r="C69" s="214" t="n"/>
      <c r="D69" s="214" t="n"/>
      <c r="E69" s="214" t="n"/>
      <c r="F69" s="214" t="n"/>
      <c r="G69" s="214" t="n"/>
      <c r="H69" s="214" t="n"/>
      <c r="I69" s="214" t="n"/>
      <c r="J69" s="214" t="n"/>
      <c r="K69" s="214" t="n"/>
      <c r="L69" s="214" t="n"/>
      <c r="M69" s="214" t="n"/>
      <c r="N69" s="214" t="n"/>
      <c r="O69" s="214" t="n"/>
      <c r="P69" s="214" t="n"/>
      <c r="Q69" s="214" t="n"/>
      <c r="R69" s="214" t="n"/>
    </row>
  </sheetData>
  <sheetProtection selectLockedCells="0" selectUnlockedCells="0" sheet="1" objects="0" insertRows="1" insertHyperlinks="1" autoFilter="1" scenarios="0" formatColumns="0" deleteColumns="1" insertColumns="1" pivotTables="1" deleteRows="1" formatCells="0" formatRows="0" sort="1"/>
  <mergeCells count="6">
    <mergeCell ref="A3:R3"/>
    <mergeCell ref="A55:R69"/>
    <mergeCell ref="A49:L49"/>
    <mergeCell ref="A51:R54"/>
    <mergeCell ref="A50:L50"/>
    <mergeCell ref="A48:L48"/>
  </mergeCells>
  <printOptions gridLines="1"/>
  <pageMargins left="0.433070866141732" right="0.433070866141732" top="0.555555555555555" bottom="0.433070866141732" header="0.15748031496063" footer="0.15748031496063"/>
  <pageSetup orientation="landscape" paperSize="9"/>
  <headerFooter differentFirst="1" alignWithMargins="0">
    <oddHeader>&amp;CInventaire_x000a_  “Signalétique promotionnelle et scénographique éco-responsable _Marché conjoint Ville de Mons et CPAS de Mons - Lot 1 (Signalétique extérieure)”</oddHeader>
    <oddFooter>&amp;CRéférence CCH : BO.F.2026/Signalétique int &amp; ext/GC&amp;R&amp;P/&amp;N</oddFooter>
    <evenHeader/>
    <evenFooter/>
    <firstHeader/>
    <firstFooter>&amp;CRéférence CCH : BO.F.2026/Signalétique int &amp; ext/GC&amp;R&amp;P/&amp;N</firstFooter>
  </headerFooter>
</worksheet>
</file>

<file path=xl/worksheets/sheet3.xml><?xml version="1.0" encoding="utf-8"?>
<worksheet xmlns="http://schemas.openxmlformats.org/spreadsheetml/2006/main">
  <sheetPr codeName="Blad3">
    <outlinePr summaryBelow="1" summaryRight="1"/>
    <pageSetUpPr/>
  </sheetPr>
  <dimension ref="A1:G16"/>
  <sheetViews>
    <sheetView showZeros="0" workbookViewId="0">
      <pane ySplit="3" topLeftCell="A4" activePane="bottomLeft" state="frozen"/>
      <selection pane="bottomLeft" activeCell="A4" sqref="A4"/>
    </sheetView>
  </sheetViews>
  <sheetFormatPr baseColWidth="10" defaultColWidth="9.109375" defaultRowHeight="10.2"/>
  <cols>
    <col width="48.6640625" customWidth="1" style="45" min="1" max="1"/>
    <col width="8" customWidth="1" style="46" min="2" max="2"/>
    <col width="15.6640625" customWidth="1" style="218" min="3" max="3"/>
    <col width="40.6640625" customWidth="1" style="219" min="4" max="4"/>
    <col width="18.6640625" customWidth="1" style="220" min="5" max="5"/>
    <col width="7.6640625" customWidth="1" style="48" min="6" max="6"/>
    <col hidden="1" width="12.109375" customWidth="1" style="221" min="7" max="7"/>
    <col width="12.109375" customWidth="1" style="44" min="8" max="8"/>
    <col width="9.109375" customWidth="1" style="44" min="9" max="9"/>
    <col width="9.109375" customWidth="1" style="44" min="10" max="16384"/>
  </cols>
  <sheetData>
    <row r="1" hidden="1" customFormat="1" s="40">
      <c r="A1" s="104" t="n"/>
      <c r="B1" s="105" t="n"/>
      <c r="C1" s="195" t="n"/>
      <c r="D1" s="222" t="n"/>
      <c r="E1" s="222" t="n"/>
      <c r="F1" s="105" t="n"/>
      <c r="G1" s="223" t="n"/>
    </row>
    <row r="2" hidden="1" customFormat="1" s="40">
      <c r="A2" s="104" t="n"/>
      <c r="B2" s="108" t="n"/>
      <c r="C2" s="210" t="n"/>
      <c r="D2" s="224" t="n"/>
      <c r="E2" s="225" t="n"/>
      <c r="F2" s="108" t="n"/>
      <c r="G2" s="226" t="n"/>
    </row>
    <row r="3" customFormat="1" s="43">
      <c r="A3" s="112" t="inlineStr">
        <is>
          <t>Description</t>
        </is>
      </c>
      <c r="B3" s="113" t="inlineStr">
        <is>
          <t>Q</t>
        </is>
      </c>
      <c r="C3" s="227" t="inlineStr">
        <is>
          <t>PU en chiffres</t>
        </is>
      </c>
      <c r="D3" s="228" t="inlineStr">
        <is>
          <t>PU en lettres</t>
        </is>
      </c>
      <c r="E3" s="229" t="inlineStr">
        <is>
          <t>Total</t>
        </is>
      </c>
      <c r="F3" s="116" t="inlineStr">
        <is>
          <t>TVA %</t>
        </is>
      </c>
      <c r="G3" s="230" t="inlineStr">
        <is>
          <t>TVA</t>
        </is>
      </c>
    </row>
    <row r="4" ht="30" customHeight="1">
      <c r="A4" s="118" t="n"/>
      <c r="B4" s="119" t="n"/>
      <c r="C4" s="231" t="n"/>
      <c r="D4" s="120" t="n"/>
      <c r="E4" s="232">
        <f>ROUND(B4*C4,2)</f>
        <v/>
      </c>
      <c r="F4" s="122" t="n"/>
      <c r="G4" s="233">
        <f>E4*F4</f>
        <v/>
      </c>
    </row>
    <row r="5" ht="30" customHeight="1">
      <c r="A5" s="118" t="n"/>
      <c r="B5" s="119" t="n"/>
      <c r="C5" s="231" t="n"/>
      <c r="D5" s="120" t="n"/>
      <c r="E5" s="232">
        <f>ROUND(B5*C5,2)</f>
        <v/>
      </c>
      <c r="F5" s="122" t="n"/>
      <c r="G5" s="233">
        <f>E5*F5</f>
        <v/>
      </c>
    </row>
    <row r="6" ht="30" customHeight="1">
      <c r="A6" s="118" t="n"/>
      <c r="B6" s="119" t="n"/>
      <c r="C6" s="231" t="n"/>
      <c r="D6" s="120" t="n"/>
      <c r="E6" s="232">
        <f>ROUND(B6*C6,2)</f>
        <v/>
      </c>
      <c r="F6" s="122" t="n"/>
      <c r="G6" s="233">
        <f>E6*F6</f>
        <v/>
      </c>
    </row>
    <row r="7" ht="30" customHeight="1">
      <c r="A7" s="118" t="n"/>
      <c r="B7" s="119" t="n"/>
      <c r="C7" s="231" t="n"/>
      <c r="D7" s="120" t="n"/>
      <c r="E7" s="232">
        <f>ROUND(B7*C7,2)</f>
        <v/>
      </c>
      <c r="F7" s="122" t="n"/>
      <c r="G7" s="233">
        <f>E7*F7</f>
        <v/>
      </c>
    </row>
    <row r="8" ht="30" customHeight="1">
      <c r="A8" s="118" t="n"/>
      <c r="B8" s="119" t="n"/>
      <c r="C8" s="231" t="n"/>
      <c r="D8" s="120" t="n"/>
      <c r="E8" s="232">
        <f>ROUND(B8*C8,2)</f>
        <v/>
      </c>
      <c r="F8" s="122" t="n"/>
      <c r="G8" s="233">
        <f>E8*F8</f>
        <v/>
      </c>
    </row>
    <row r="9" ht="30" customHeight="1">
      <c r="A9" s="118" t="n"/>
      <c r="B9" s="119" t="n"/>
      <c r="C9" s="231" t="n"/>
      <c r="D9" s="120" t="n"/>
      <c r="E9" s="232">
        <f>ROUND(B9*C9,2)</f>
        <v/>
      </c>
      <c r="F9" s="122" t="n"/>
      <c r="G9" s="233">
        <f>E9*F9</f>
        <v/>
      </c>
    </row>
    <row r="10" ht="30" customHeight="1">
      <c r="A10" s="118" t="n"/>
      <c r="B10" s="119" t="n"/>
      <c r="C10" s="231" t="n"/>
      <c r="D10" s="120" t="n"/>
      <c r="E10" s="232">
        <f>ROUND(B10*C10,2)</f>
        <v/>
      </c>
      <c r="F10" s="122" t="n"/>
      <c r="G10" s="233">
        <f>E10*F10</f>
        <v/>
      </c>
    </row>
    <row r="11" ht="30" customHeight="1">
      <c r="A11" s="118" t="n"/>
      <c r="B11" s="119" t="n"/>
      <c r="C11" s="231" t="n"/>
      <c r="D11" s="120" t="n"/>
      <c r="E11" s="232">
        <f>ROUND(B11*C11,2)</f>
        <v/>
      </c>
      <c r="F11" s="122" t="n"/>
      <c r="G11" s="233">
        <f>E11*F11</f>
        <v/>
      </c>
    </row>
    <row r="12" ht="30" customHeight="1">
      <c r="A12" s="118" t="n"/>
      <c r="B12" s="119" t="n"/>
      <c r="C12" s="231" t="n"/>
      <c r="D12" s="120" t="n"/>
      <c r="E12" s="232">
        <f>ROUND(B12*C12,2)</f>
        <v/>
      </c>
      <c r="F12" s="122" t="n"/>
      <c r="G12" s="233">
        <f>E12*F12</f>
        <v/>
      </c>
    </row>
    <row r="13" ht="30" customHeight="1">
      <c r="A13" s="124" t="n"/>
      <c r="B13" s="125" t="n"/>
      <c r="C13" s="234" t="n"/>
      <c r="D13" s="126" t="n"/>
      <c r="E13" s="235">
        <f>ROUND(B13*C13,2)</f>
        <v/>
      </c>
      <c r="F13" s="128" t="n"/>
      <c r="G13" s="236">
        <f>E13*F13</f>
        <v/>
      </c>
    </row>
    <row r="14" ht="30" customHeight="1">
      <c r="A14" s="130" t="n"/>
      <c r="B14" s="131" t="n"/>
      <c r="C14" s="237" t="n"/>
      <c r="D14" s="238" t="inlineStr">
        <is>
          <t xml:space="preserve">Total : </t>
        </is>
      </c>
      <c r="E14" s="239">
        <f>SUM(E4:E13)</f>
        <v/>
      </c>
      <c r="F14" s="134" t="n"/>
      <c r="G14" s="223" t="n"/>
    </row>
    <row r="15" ht="30" customHeight="1">
      <c r="A15" s="135" t="n"/>
      <c r="B15" s="11" t="n"/>
      <c r="C15" s="240" t="n"/>
      <c r="D15" s="241" t="inlineStr">
        <is>
          <t>TVA :</t>
        </is>
      </c>
      <c r="E15" s="224">
        <f>ROUND(SUM(G4:G13),2)</f>
        <v/>
      </c>
      <c r="F15" s="137" t="n"/>
      <c r="G15" s="223" t="n"/>
    </row>
    <row r="16" ht="30" customHeight="1">
      <c r="A16" s="130" t="n"/>
      <c r="B16" s="131" t="n"/>
      <c r="C16" s="237" t="n"/>
      <c r="D16" s="238" t="inlineStr">
        <is>
          <t>Total TVAC :</t>
        </is>
      </c>
      <c r="E16" s="239">
        <f>E14+E15</f>
        <v/>
      </c>
      <c r="F16" s="134" t="n"/>
      <c r="G16" s="223" t="n"/>
    </row>
  </sheetData>
  <sheetProtection selectLockedCells="0" selectUnlockedCells="0" sheet="1" objects="0" insertRows="1" insertHyperlinks="1" autoFilter="1" scenarios="0" formatColumns="0" deleteColumns="1" insertColumns="1" pivotTables="1" deleteRows="1" formatCells="0" formatRows="0" sort="1"/>
  <pageMargins left="0.433070866141732" right="0.433070866141732" top="0.433070866141732" bottom="0.433070866141732" header="0.15748031496063" footer="0.15748031496063"/>
  <pageSetup orientation="landscape" paperSize="9" horizontalDpi="1200" verticalDpi="1200"/>
  <headerFooter alignWithMargins="0">
    <oddHeader>&amp;COmissions pour  “Signalétique promotionnelle et scénographique éco-responsable _Marché conjoint Ville de Mons et CPAS de Mons - Lot 1 (Signalétique extérieure)”</oddHeader>
    <oddFooter>&amp;CRéférence CCH : BO.F.2026/Signalétique int &amp; ext/GC&amp;R&amp;P/&amp;N</oddFooter>
    <evenHeader/>
    <evenFooter/>
    <firstHeader/>
    <firstFooter/>
  </headerFooter>
</worksheet>
</file>

<file path=xl/worksheets/sheet4.xml><?xml version="1.0" encoding="utf-8"?>
<worksheet xmlns="http://schemas.openxmlformats.org/spreadsheetml/2006/main">
  <sheetPr codeName="Blad4">
    <outlinePr summaryBelow="1" summaryRight="1"/>
    <pageSetUpPr/>
  </sheetPr>
  <dimension ref="B1:B21"/>
  <sheetViews>
    <sheetView workbookViewId="0">
      <selection activeCell="B1" sqref="B1"/>
    </sheetView>
  </sheetViews>
  <sheetFormatPr baseColWidth="10" defaultColWidth="9.109375" defaultRowHeight="13.2"/>
  <cols>
    <col width="9.109375" customWidth="1" min="1" max="1"/>
    <col width="68.109375" customWidth="1" style="12" min="2" max="2"/>
    <col width="9.109375" customWidth="1" min="3" max="3"/>
  </cols>
  <sheetData>
    <row r="1">
      <c r="B1" s="13" t="inlineStr">
        <is>
          <t>A propos de 3P</t>
        </is>
      </c>
    </row>
    <row r="3" ht="39.6" customHeight="1">
      <c r="B3" s="12" t="inlineStr">
        <is>
          <t>3P - Gestion des marchés publics par une application conviviale pour la gestion, le suivi et l'automatisation des dossiers d'achat des pouvoirs adjudicateurs soumis à la "Législation sur les Marchés Publics".</t>
        </is>
      </c>
    </row>
    <row r="4">
      <c r="B4" s="12" t="inlineStr">
        <is>
          <t>3P englobe la gestion des dossiers de marché public de A à Z :</t>
        </is>
      </c>
    </row>
    <row r="5">
      <c r="B5" s="12" t="inlineStr">
        <is>
          <t>du budget à l'exécution</t>
        </is>
      </c>
    </row>
    <row r="6" ht="105.6" customHeight="1">
      <c r="B6" s="12" t="inlineStr">
        <is>
          <t>3P est le seul programme sur le marché à proposer la gestion aussi bien de travaux que de fournitures et services, et ceci pour toutes les procédures, nationales ou européennes. Le suivi budgétaire (budget, crédits, subsides, amendes, cautions, ...), le suivi administratif ainsi que la génération de documents (tous les documents requis par la loi sont repris!), le suivi technique (métrés, états d'avancement, ...), toutes les opérations de calcul (prix anormaux, omissions, décompte final, ...) : tous sont repris dans le programme 3P, le seul programme vous proposant une gestion aussi complète de vos marchés publics.</t>
        </is>
      </c>
    </row>
    <row r="7" ht="66" customHeight="1">
      <c r="B7" s="12" t="inlineStr">
        <is>
          <t>3P a été élaboré en collaboration avec un groupe d'administrations publiques, allant des "autorités classiques" (communes, villes, autorités provinciales, ministères,...) aux entreprises d'intérêt public (tranports publics, gestion des eaux, ...) en passant par les entreprises publiques "commerciales". En bref, le programme est parfaitement adapté à tous les services publics.</t>
        </is>
      </c>
    </row>
    <row r="8" ht="52.8" customHeight="1">
      <c r="B8" s="12" t="inlineStr">
        <is>
          <t>3P est une application très conviviale et rapide, aussi bien à l'utilisation qu'à l'entretien. L'utilisateur ne rencontrera que très rarement un "sablier", les écrans s'affichent en quelques dizièmes de secondes. Grâce à la gestion automatique des versions, il n'est nul besoin d'un gestionnaire système pour 3P.</t>
        </is>
      </c>
    </row>
    <row r="9" ht="66" customHeight="1">
      <c r="B9" s="12" t="inlineStr">
        <is>
          <t>Comme les nombreux utilisateurs de 3P, vous vous sentirez immédiatement à l'aise dans 3P. Ceci non seulement grâce à l'utilisation des technologies de pointe les plus modernes mais également grâce au fait que les utilisateurs actuels de 3P ont été impliqués depuis le début dans l'élaboration du programme, et qu'avec nous, ils ont jaugé toutes les fonctionnalités de 3P.</t>
        </is>
      </c>
    </row>
    <row r="10" ht="26.4" customHeight="1">
      <c r="B10" s="12" t="inlineStr">
        <is>
          <t>Et enfin... 3P vous est proposé à des tarifs imbattables! 3P est donc à la portée de toutes les administrations publiques.</t>
        </is>
      </c>
    </row>
    <row r="11">
      <c r="B11" s="12" t="inlineStr">
        <is>
          <t>Nous vous souhaitons une fructueuse utilisation de 3P !</t>
        </is>
      </c>
    </row>
    <row r="13">
      <c r="B13" s="12" t="inlineStr">
        <is>
          <t>L'équipe de 3P</t>
        </is>
      </c>
    </row>
    <row r="15">
      <c r="B15" s="12" t="inlineStr">
        <is>
          <t>Contact:</t>
        </is>
      </c>
    </row>
    <row r="16">
      <c r="B16" s="12" t="inlineStr">
        <is>
          <t>3P</t>
        </is>
      </c>
    </row>
    <row r="17">
      <c r="B17" s="12" t="inlineStr">
        <is>
          <t>Verviersstraat 1</t>
        </is>
      </c>
    </row>
    <row r="18">
      <c r="B18" s="12" t="inlineStr">
        <is>
          <t>2000 Anvers</t>
        </is>
      </c>
    </row>
    <row r="19">
      <c r="B19" s="12" t="inlineStr">
        <is>
          <t>Tél: 03/294.30.51</t>
        </is>
      </c>
    </row>
    <row r="20">
      <c r="B20" s="12" t="inlineStr">
        <is>
          <t>Fax: 03/294.30.52</t>
        </is>
      </c>
    </row>
    <row r="21">
      <c r="B21" s="12" t="inlineStr">
        <is>
          <t>info@3p.eu</t>
        </is>
      </c>
    </row>
  </sheetData>
  <pageMargins left="0.75" right="0.75" top="1" bottom="1" header="0.5" footer="0.5"/>
  <pageSetup orientation="portrait" paperSize="9" horizontalDpi="1200" verticalDpi="1200"/>
</worksheet>
</file>

<file path=xl/worksheets/sheet5.xml><?xml version="1.0" encoding="utf-8"?>
<worksheet xmlns="http://schemas.openxmlformats.org/spreadsheetml/2006/main">
  <sheetPr codeName="Blad5">
    <outlinePr summaryBelow="1" summaryRight="1"/>
    <pageSetUpPr/>
  </sheetPr>
  <dimension ref="A2:B20"/>
  <sheetViews>
    <sheetView topLeftCell="A7" workbookViewId="0">
      <selection activeCell="E15" sqref="E15"/>
    </sheetView>
  </sheetViews>
  <sheetFormatPr baseColWidth="10" defaultColWidth="9.109375" defaultRowHeight="13.2"/>
  <cols>
    <col width="21.6640625" customWidth="1" style="54" min="1" max="1"/>
    <col width="76.88671875" customWidth="1" style="54" min="2" max="2"/>
    <col width="9.109375" customWidth="1" style="54" min="3" max="3"/>
    <col width="9.109375" customWidth="1" style="54" min="4" max="16384"/>
  </cols>
  <sheetData>
    <row r="2">
      <c r="A2" s="54" t="inlineStr">
        <is>
          <t>Version</t>
        </is>
      </c>
      <c r="B2" s="54" t="inlineStr">
        <is>
          <t>1.1</t>
        </is>
      </c>
    </row>
    <row r="3">
      <c r="A3" s="53" t="inlineStr">
        <is>
          <t>1. Titres</t>
        </is>
      </c>
      <c r="B3" s="53" t="inlineStr">
        <is>
          <t>Seules les colonnes suivantes sont importantes pour l'importation:</t>
        </is>
      </c>
    </row>
    <row r="4">
      <c r="A4" s="55" t="inlineStr">
        <is>
          <t>Description</t>
        </is>
      </c>
      <c r="B4" s="54" t="inlineStr">
        <is>
          <t>Pour une ligne blanche, vous pouvez simplement laisser cette colonne vide.</t>
        </is>
      </c>
    </row>
    <row r="5">
      <c r="A5" s="55" t="inlineStr">
        <is>
          <t>Référence</t>
        </is>
      </c>
      <c r="B5" s="54" t="inlineStr">
        <is>
          <t>Référence au CSCH-type ou à votre propre numérotation.</t>
        </is>
      </c>
    </row>
    <row r="6">
      <c r="A6" s="55" t="inlineStr">
        <is>
          <t>(Référence complémentaire)</t>
        </is>
      </c>
      <c r="B6" s="56" t="inlineStr">
        <is>
          <t>P.ex. pour mentionner qu'il s'agit d'un chapitre qui n'apparaît pas dans le CSCH-type</t>
        </is>
      </c>
    </row>
    <row r="7">
      <c r="A7" s="53" t="inlineStr">
        <is>
          <t>2. Sous-totaux</t>
        </is>
      </c>
      <c r="B7" s="53" t="inlineStr">
        <is>
          <t xml:space="preserve">Pour les sous-totaux, seules les colonnes suivantes sont pertinentes pour l’import : </t>
        </is>
      </c>
    </row>
    <row r="8">
      <c r="A8" s="55" t="inlineStr">
        <is>
          <t>Description</t>
        </is>
      </c>
      <c r="B8" s="54" t="inlineStr">
        <is>
          <t>Courte description, ex. « sous-total 1 : travaux d’égouttage »</t>
        </is>
      </c>
    </row>
    <row r="9" ht="26.4" customHeight="1">
      <c r="A9" s="55" t="inlineStr">
        <is>
          <t>Total</t>
        </is>
      </c>
      <c r="B9" s="56" t="inlineStr">
        <is>
          <t>Total des postes ci-dessus (PUxQ). Important : ce total doit pouvoir être calculé dans excel via la fonction « Somme » !</t>
        </is>
      </c>
    </row>
    <row r="10">
      <c r="A10" s="53" t="inlineStr">
        <is>
          <t>3. Postes</t>
        </is>
      </c>
      <c r="B10" s="57" t="inlineStr">
        <is>
          <t>Explication des colonnes</t>
        </is>
      </c>
    </row>
    <row r="11" ht="52.8" customHeight="1">
      <c r="A11" s="55" t="inlineStr">
        <is>
          <t>Numérotation</t>
        </is>
      </c>
      <c r="B11" s="56" t="inlineStr">
        <is>
          <t>Numérotation (champ intègre non modifiable). Laisser cette colonne vide. 3P définit la numérotation suivant l'ordre des postes. Si vous avez votre propre numérotation, vous pouvez l'ajouter dans la colonne Référence (qui sert normalement à la référence du CSCH-type).</t>
        </is>
      </c>
    </row>
    <row r="12">
      <c r="A12" s="55" t="inlineStr">
        <is>
          <t>Référence</t>
        </is>
      </c>
      <c r="B12" s="54" t="inlineStr">
        <is>
          <t>Référence à un poste complémentaire dans le CSCH-type.</t>
        </is>
      </c>
    </row>
    <row r="13">
      <c r="A13" s="55" t="inlineStr">
        <is>
          <t>Référence complémentaire</t>
        </is>
      </c>
      <c r="B13" s="56" t="inlineStr">
        <is>
          <t>P.ex. pour mentionner qu'il s'agit d'un poste qui n'apparaît pas dans le CSCH-type</t>
        </is>
      </c>
    </row>
    <row r="14">
      <c r="A14" s="55" t="inlineStr">
        <is>
          <t>Description</t>
        </is>
      </c>
      <c r="B14" s="54" t="inlineStr">
        <is>
          <t>Description obligatoire du poste</t>
        </is>
      </c>
    </row>
    <row r="15" ht="335.25" customHeight="1">
      <c r="A15" s="55" t="inlineStr">
        <is>
          <t>Type</t>
        </is>
      </c>
      <c r="B15" s="56" t="inlineStr">
        <is>
          <t xml:space="preserve">Vous pouvez compléter ici suivant une des possibilités suivantes :
o QP ou Q.P. : un poste à quantité présumée. Ceci signifie que la quantité du poste ne peut être définie avec précision à l'avance dans le CSCH et qu'il ne peut donc être donné qu'une approximation. Pendant l'exécution, cette quantité peut s'avérer supérieure ou inférieure à la quantité présumée signifiée donc dans le CSCH. Lors du décompte final, le décompte de tous les QP est toujours fait séparément.
o QF ou Q.F. : un poste à quantité forfaitaire. Ceci signifie que la quantité du poste est définie avec exactitude dans le CSCH et ne peut en aucun cas être dépassée pendant l'exécution, sauf suite à l'approbation d'un décompte.
o PT / PG : un poste à prix total / global. La quantité est 1, le prix total du poste est donné.
o MF : un poste à montant fixe. Ceci signifie que le montant est fixé à l'avance et qu'il sera le même dans toutes les offres, p.ex. pour les essais. 
o SR : une somme réservée. Ici aussi, le montant est fixé à l'avance et sera le même dans toutes les offres, p.ex. pour des travaux supplémentaires. Cette somme ne sera typiquement pas entièrement utilisée.
N'est pas sensible à la casse (majuscules). Si non complété, 3P suppose qu'il s'agit d'une quantité présumée (QP).
o PM : un poste pour mémoire. Ceci est une ligne où l'on n'ajoute pas d'estimation ou de quantité, mais utilisée à titre informatif. (par exemple: pour mentionner quels éléments sont inclus dans les postes ci-dessus). Si l’on ajoute une estimation et une quantité, ce poste sera repris dans la liste des postes du métré, mais le prix n’est pas comptabilisé dans l’estimation ou l’offre (et n’est pas montré au soumissionnaire).
o SAJ (wallonie uniquement) : une somme à justifier. Le montant est fixé à l'avance et sera le même dans toutes les offres, p.ex. pour des travaux supplémentaires. </t>
        </is>
      </c>
    </row>
    <row r="16">
      <c r="A16" s="55" t="inlineStr">
        <is>
          <t>U</t>
        </is>
      </c>
      <c r="B16" s="54" t="inlineStr">
        <is>
          <t>Unité</t>
        </is>
      </c>
    </row>
    <row r="17">
      <c r="A17" s="55" t="inlineStr">
        <is>
          <t>Q</t>
        </is>
      </c>
      <c r="B17" s="56" t="inlineStr">
        <is>
          <t>Quantité du poste. Via ce champ, 3P différencie un poste d'un titre.</t>
        </is>
      </c>
    </row>
    <row r="18">
      <c r="A18" s="55" t="inlineStr">
        <is>
          <t>PU</t>
        </is>
      </c>
      <c r="B18" s="56" t="inlineStr">
        <is>
          <t>Prix unitaire du poste (0 = poste gratuit)</t>
        </is>
      </c>
    </row>
    <row r="19">
      <c r="A19" s="55" t="inlineStr">
        <is>
          <t>Total</t>
        </is>
      </c>
      <c r="B19" s="56" t="inlineStr">
        <is>
          <t>Ce résultat est calculé par 3P et arrondi à 2 chiffres après la virgule</t>
        </is>
      </c>
    </row>
    <row r="20" ht="52.8" customHeight="1">
      <c r="A20" s="55" t="inlineStr">
        <is>
          <t>TVA%</t>
        </is>
      </c>
      <c r="B20" s="56" t="inlineStr">
        <is>
          <t>Si vous ne complétez pas ceci, 3P suppose que vous reprenez le pourcentage standard de TVA de votre pouvoir adjudicateur (souvent 21%¨). Pour un poste sans TVA ou avec un autre pourcentage de TVA, veillez à compléter le pourcentage en question. Le total TVA par pourcentage est également arrondi à 2 chiffres après la virgule.</t>
        </is>
      </c>
    </row>
  </sheetData>
  <pageMargins left="0.75" right="0.75" top="1" bottom="1" header="0.5" footer="0.5"/>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3P</dc:creator>
  <dcterms:created xmlns:dcterms="http://purl.org/dc/terms/" xmlns:xsi="http://www.w3.org/2001/XMLSchema-instance" xsi:type="dcterms:W3CDTF">2004-01-29T18:35:10Z</dcterms:created>
  <dcterms:modified xmlns:dcterms="http://purl.org/dc/terms/" xmlns:xsi="http://www.w3.org/2001/XMLSchema-instance" xsi:type="dcterms:W3CDTF">2026-10-11T10:57:28Z</dcterms:modified>
  <cp:lastModifiedBy>Coppolino Giacoma</cp:lastModifiedBy>
  <cp:lastPrinted>2012-04-05T13:12:06Z</cp:lastPrinted>
</cp:coreProperties>
</file>