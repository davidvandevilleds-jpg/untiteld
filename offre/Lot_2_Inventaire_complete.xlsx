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lockStructure="1"/>
  <bookViews>
    <workbookView visibility="visible" minimized="0" showHorizontalScroll="1" showVerticalScroll="1" showSheetTabs="1" xWindow="-108" yWindow="-108" windowWidth="23256" windowHeight="12720" tabRatio="600" firstSheet="0" activeTab="1" autoFilterDateGrouping="1"/>
  </bookViews>
  <sheets>
    <sheet xmlns:r="http://schemas.openxmlformats.org/officeDocument/2006/relationships" name="Aperçu Offre" sheetId="1" state="visible" r:id="rId1"/>
    <sheet xmlns:r="http://schemas.openxmlformats.org/officeDocument/2006/relationships" name="Postes" sheetId="2" state="visible" r:id="rId2"/>
    <sheet xmlns:r="http://schemas.openxmlformats.org/officeDocument/2006/relationships" name="Omissions" sheetId="3" state="hidden" r:id="rId3"/>
    <sheet xmlns:r="http://schemas.openxmlformats.org/officeDocument/2006/relationships" name="3P" sheetId="4" state="visible" r:id="rId4"/>
    <sheet xmlns:r="http://schemas.openxmlformats.org/officeDocument/2006/relationships" name="Légende" sheetId="5" state="visible" r:id="rId5"/>
  </sheets>
  <definedNames>
    <definedName name="_xlnm.Print_Titles" localSheetId="1">'Postes'!$4:$4</definedName>
  </definedNames>
  <calcPr calcId="191029" fullCalcOnLoad="1"/>
</workbook>
</file>

<file path=xl/styles.xml><?xml version="1.0" encoding="utf-8"?>
<styleSheet xmlns="http://schemas.openxmlformats.org/spreadsheetml/2006/main">
  <numFmts count="7">
    <numFmt numFmtId="164" formatCode="&quot;€&quot;\ #,##0.00000"/>
    <numFmt numFmtId="165" formatCode="&quot;€&quot;\ #,##0.00"/>
    <numFmt numFmtId="166" formatCode="_-\€\ #,##0.00;[Red]_-\€\ \-#,##0.00"/>
    <numFmt numFmtId="167" formatCode="0\ %"/>
    <numFmt numFmtId="168" formatCode="_-&quot;€&quot;\ #,##0.00;[Red]_-&quot;€&quot;\ \-#,##0.00"/>
    <numFmt numFmtId="169" formatCode="_-* #,##0.00\ _€_-;\-* #,##0.00\ _€_-;_-* &quot;-&quot;??\ _€_-;_-@_-"/>
    <numFmt numFmtId="170" formatCode="_-* #,##0\ _€_-;\-* #,##0\ _€_-;_-* &quot;-&quot;\ _€_-;_-@_-"/>
  </numFmts>
  <fonts count="33">
    <font>
      <name val="Arial"/>
      <sz val="10"/>
    </font>
    <font>
      <name val="Verdana"/>
      <family val="2"/>
      <b val="1"/>
      <sz val="16"/>
    </font>
    <font>
      <name val="Verdana"/>
      <family val="2"/>
      <sz val="10"/>
    </font>
    <font>
      <name val="Verdana"/>
      <family val="2"/>
      <b val="1"/>
      <sz val="10"/>
    </font>
    <font>
      <name val="Verdana"/>
      <family val="2"/>
      <i val="1"/>
      <sz val="10"/>
    </font>
    <font>
      <name val="Verdana"/>
      <family val="2"/>
      <b val="1"/>
      <sz val="8"/>
    </font>
    <font>
      <name val="Verdana"/>
      <family val="2"/>
      <sz val="8"/>
    </font>
    <font>
      <name val="Verdana"/>
      <family val="2"/>
      <i val="1"/>
      <sz val="8"/>
    </font>
    <font>
      <name val="Verdana"/>
      <family val="2"/>
      <i val="1"/>
      <color indexed="9"/>
      <sz val="8"/>
    </font>
    <font>
      <name val="Verdana"/>
      <family val="2"/>
      <b val="1"/>
      <color indexed="9"/>
      <sz val="8"/>
    </font>
    <font>
      <name val="Arial"/>
      <family val="2"/>
      <b val="1"/>
      <sz val="10"/>
    </font>
    <font>
      <name val="Calibri"/>
      <family val="2"/>
      <color theme="1"/>
      <sz val="11"/>
      <scheme val="minor"/>
    </font>
    <font>
      <name val="Calibri"/>
      <family val="2"/>
      <color theme="0"/>
      <sz val="11"/>
      <scheme val="minor"/>
    </font>
    <font>
      <name val="Calibri"/>
      <family val="2"/>
      <color rgb="FFFF0000"/>
      <sz val="11"/>
      <scheme val="minor"/>
    </font>
    <font>
      <name val="Calibri"/>
      <family val="2"/>
      <b val="1"/>
      <color rgb="FFFA7D00"/>
      <sz val="11"/>
      <scheme val="minor"/>
    </font>
    <font>
      <name val="Calibri"/>
      <family val="2"/>
      <color rgb="FFFA7D00"/>
      <sz val="11"/>
      <scheme val="minor"/>
    </font>
    <font>
      <name val="Calibri"/>
      <family val="2"/>
      <color rgb="FF3F3F76"/>
      <sz val="11"/>
      <scheme val="minor"/>
    </font>
    <font>
      <name val="Calibri"/>
      <family val="2"/>
      <color rgb="FF9C0006"/>
      <sz val="11"/>
      <scheme val="minor"/>
    </font>
    <font>
      <name val="Calibri"/>
      <family val="2"/>
      <color rgb="FF9C6500"/>
      <sz val="11"/>
      <scheme val="minor"/>
    </font>
    <font>
      <name val="Calibri"/>
      <family val="2"/>
      <color rgb="FF006100"/>
      <sz val="11"/>
      <scheme val="minor"/>
    </font>
    <font>
      <name val="Calibri"/>
      <family val="2"/>
      <b val="1"/>
      <color rgb="FF3F3F3F"/>
      <sz val="11"/>
      <scheme val="minor"/>
    </font>
    <font>
      <name val="Calibri"/>
      <family val="2"/>
      <i val="1"/>
      <color rgb="FF7F7F7F"/>
      <sz val="11"/>
      <scheme val="minor"/>
    </font>
    <font>
      <name val="Cambria"/>
      <family val="2"/>
      <b val="1"/>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theme="1"/>
      <sz val="11"/>
      <scheme val="minor"/>
    </font>
    <font>
      <name val="Calibri"/>
      <family val="2"/>
      <b val="1"/>
      <color theme="0"/>
      <sz val="11"/>
      <scheme val="minor"/>
    </font>
    <font>
      <name val="Verdana"/>
      <family val="2"/>
      <color rgb="FF0000FF"/>
      <sz val="8"/>
    </font>
    <font>
      <name val="Verdana"/>
      <family val="2"/>
      <b val="1"/>
      <color rgb="FF0000FF"/>
      <sz val="8"/>
    </font>
    <font>
      <name val="Verdana"/>
      <family val="2"/>
      <b val="1"/>
      <color rgb="FF0000FF"/>
      <sz val="10"/>
    </font>
    <font>
      <name val="Arial"/>
      <sz val="10"/>
    </font>
    <font>
      <name val="Arial"/>
      <family val="2"/>
      <sz val="10"/>
    </font>
  </fonts>
  <fills count="36">
    <fill>
      <patternFill/>
    </fill>
    <fill>
      <patternFill patternType="gray125"/>
    </fill>
    <fill>
      <patternFill patternType="solid">
        <fgColor theme="4" tint="0.7999511703848384"/>
        <bgColor indexed="64"/>
      </patternFill>
    </fill>
    <fill>
      <patternFill patternType="solid">
        <fgColor theme="5" tint="0.7999511703848384"/>
        <bgColor indexed="64"/>
      </patternFill>
    </fill>
    <fill>
      <patternFill patternType="solid">
        <fgColor theme="6" tint="0.7999511703848384"/>
        <bgColor indexed="64"/>
      </patternFill>
    </fill>
    <fill>
      <patternFill patternType="solid">
        <fgColor theme="7" tint="0.7999511703848384"/>
        <bgColor indexed="64"/>
      </patternFill>
    </fill>
    <fill>
      <patternFill patternType="solid">
        <fgColor theme="8" tint="0.7999511703848384"/>
        <bgColor indexed="64"/>
      </patternFill>
    </fill>
    <fill>
      <patternFill patternType="solid">
        <fgColor theme="9" tint="0.7999511703848384"/>
        <bgColor indexed="64"/>
      </patternFill>
    </fill>
    <fill>
      <patternFill patternType="solid">
        <fgColor theme="4" tint="0.5999633777886288"/>
        <bgColor indexed="64"/>
      </patternFill>
    </fill>
    <fill>
      <patternFill patternType="solid">
        <fgColor theme="5" tint="0.5999633777886288"/>
        <bgColor indexed="64"/>
      </patternFill>
    </fill>
    <fill>
      <patternFill patternType="solid">
        <fgColor theme="6" tint="0.5999633777886288"/>
        <bgColor indexed="64"/>
      </patternFill>
    </fill>
    <fill>
      <patternFill patternType="solid">
        <fgColor theme="7" tint="0.5999633777886288"/>
        <bgColor indexed="64"/>
      </patternFill>
    </fill>
    <fill>
      <patternFill patternType="solid">
        <fgColor theme="8" tint="0.5999633777886288"/>
        <bgColor indexed="64"/>
      </patternFill>
    </fill>
    <fill>
      <patternFill patternType="solid">
        <fgColor theme="9" tint="0.5999633777886288"/>
        <bgColor indexed="64"/>
      </patternFill>
    </fill>
    <fill>
      <patternFill patternType="solid">
        <fgColor theme="4" tint="0.3999755851924192"/>
        <bgColor indexed="64"/>
      </patternFill>
    </fill>
    <fill>
      <patternFill patternType="solid">
        <fgColor theme="5" tint="0.3999755851924192"/>
        <bgColor indexed="64"/>
      </patternFill>
    </fill>
    <fill>
      <patternFill patternType="solid">
        <fgColor theme="6" tint="0.3999755851924192"/>
        <bgColor indexed="64"/>
      </patternFill>
    </fill>
    <fill>
      <patternFill patternType="solid">
        <fgColor theme="7" tint="0.3999755851924192"/>
        <bgColor indexed="64"/>
      </patternFill>
    </fill>
    <fill>
      <patternFill patternType="solid">
        <fgColor theme="8" tint="0.3999755851924192"/>
        <bgColor indexed="64"/>
      </patternFill>
    </fill>
    <fill>
      <patternFill patternType="solid">
        <fgColor theme="9" tint="0.399975585192419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2F2F2"/>
        <bgColor indexed="64"/>
      </patternFill>
    </fill>
    <fill>
      <patternFill patternType="solid">
        <fgColor rgb="FFFFCC99"/>
        <bgColor indexed="64"/>
      </patternFill>
    </fill>
    <fill>
      <patternFill patternType="solid">
        <fgColor rgb="FFFFC7CE"/>
        <bgColor indexed="64"/>
      </patternFill>
    </fill>
    <fill>
      <patternFill patternType="solid">
        <fgColor rgb="FFFFEB9C"/>
        <bgColor indexed="64"/>
      </patternFill>
    </fill>
    <fill>
      <patternFill patternType="solid">
        <fgColor rgb="FFFFFFCC"/>
        <bgColor indexed="64"/>
      </patternFill>
    </fill>
    <fill>
      <patternFill patternType="solid">
        <fgColor rgb="FFC6EFCE"/>
        <bgColor indexed="64"/>
      </patternFill>
    </fill>
    <fill>
      <patternFill patternType="solid">
        <fgColor rgb="FFA5A5A5"/>
        <bgColor indexed="64"/>
      </patternFill>
    </fill>
    <fill>
      <patternFill patternType="solid">
        <fgColor indexed="22"/>
        <bgColor indexed="64"/>
      </patternFill>
    </fill>
    <fill>
      <patternFill patternType="solid">
        <fgColor indexed="41"/>
        <bgColor indexed="64"/>
      </patternFill>
    </fill>
    <fill>
      <patternFill patternType="solid">
        <fgColor rgb="FFC0C0C0"/>
        <bgColor indexed="64"/>
      </patternFill>
    </fill>
  </fills>
  <borders count="35">
    <border>
      <left/>
      <right/>
      <top/>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54222235786"/>
      </bottom>
      <diagonal/>
    </border>
    <border>
      <left/>
      <right/>
      <top/>
      <bottom style="medium">
        <color theme="4" tint="0.399975585192419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right style="medium">
        <color auto="1"/>
      </right>
      <top style="medium">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right style="medium">
        <color auto="1"/>
      </right>
      <top/>
      <bottom/>
      <diagonal/>
    </border>
    <border>
      <left style="thick">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right style="medium">
        <color auto="1"/>
      </right>
      <top/>
      <bottom style="medium">
        <color auto="1"/>
      </bottom>
      <diagonal/>
    </border>
    <border>
      <left style="thick">
        <color auto="1"/>
      </left>
      <right/>
      <top/>
      <bottom/>
      <diagonal/>
    </border>
    <border>
      <left/>
      <right style="thick">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48">
    <xf numFmtId="0" fontId="31" fillId="0" borderId="0"/>
    <xf numFmtId="0" fontId="11" fillId="2" borderId="0"/>
    <xf numFmtId="0" fontId="11" fillId="3" borderId="0"/>
    <xf numFmtId="0" fontId="11" fillId="4" borderId="0"/>
    <xf numFmtId="0" fontId="11" fillId="5" borderId="0"/>
    <xf numFmtId="0" fontId="11" fillId="6" borderId="0"/>
    <xf numFmtId="0" fontId="11" fillId="7" borderId="0"/>
    <xf numFmtId="0" fontId="11" fillId="8" borderId="0"/>
    <xf numFmtId="0" fontId="11" fillId="9" borderId="0"/>
    <xf numFmtId="0" fontId="11" fillId="10" borderId="0"/>
    <xf numFmtId="0" fontId="11" fillId="11" borderId="0"/>
    <xf numFmtId="0" fontId="11" fillId="12" borderId="0"/>
    <xf numFmtId="0" fontId="11" fillId="13" borderId="0"/>
    <xf numFmtId="0" fontId="12" fillId="14" borderId="0"/>
    <xf numFmtId="0" fontId="12" fillId="15" borderId="0"/>
    <xf numFmtId="0" fontId="12" fillId="16" borderId="0"/>
    <xf numFmtId="0" fontId="12" fillId="17" borderId="0"/>
    <xf numFmtId="0" fontId="12" fillId="18" borderId="0"/>
    <xf numFmtId="0" fontId="12" fillId="19" borderId="0"/>
    <xf numFmtId="0" fontId="12" fillId="20" borderId="0"/>
    <xf numFmtId="0" fontId="12" fillId="21" borderId="0"/>
    <xf numFmtId="0" fontId="12" fillId="22" borderId="0"/>
    <xf numFmtId="0" fontId="12" fillId="23" borderId="0"/>
    <xf numFmtId="0" fontId="12" fillId="24" borderId="0"/>
    <xf numFmtId="0" fontId="12" fillId="25" borderId="0"/>
    <xf numFmtId="0" fontId="13" fillId="0" borderId="0"/>
    <xf numFmtId="0" fontId="14" fillId="26" borderId="1"/>
    <xf numFmtId="0" fontId="15" fillId="0" borderId="2"/>
    <xf numFmtId="0" fontId="16" fillId="27" borderId="1"/>
    <xf numFmtId="0" fontId="17" fillId="28" borderId="0"/>
    <xf numFmtId="169" fontId="31" fillId="0" borderId="0"/>
    <xf numFmtId="170" fontId="31" fillId="0" borderId="0"/>
    <xf numFmtId="44" fontId="31" fillId="0" borderId="0"/>
    <xf numFmtId="42" fontId="31" fillId="0" borderId="0"/>
    <xf numFmtId="0" fontId="18" fillId="29" borderId="0"/>
    <xf numFmtId="0" fontId="31" fillId="30" borderId="3"/>
    <xf numFmtId="9" fontId="31" fillId="0" borderId="0"/>
    <xf numFmtId="0" fontId="19" fillId="31" borderId="0"/>
    <xf numFmtId="0" fontId="20" fillId="26" borderId="4"/>
    <xf numFmtId="0" fontId="31" fillId="0" borderId="0"/>
    <xf numFmtId="0" fontId="21" fillId="0" borderId="0"/>
    <xf numFmtId="0" fontId="22" fillId="0" borderId="0"/>
    <xf numFmtId="0" fontId="23" fillId="0" borderId="5"/>
    <xf numFmtId="0" fontId="24" fillId="0" borderId="6"/>
    <xf numFmtId="0" fontId="25" fillId="0" borderId="7"/>
    <xf numFmtId="0" fontId="25" fillId="0" borderId="0"/>
    <xf numFmtId="0" fontId="26" fillId="0" borderId="8"/>
    <xf numFmtId="0" fontId="27" fillId="32" borderId="9"/>
  </cellStyleXfs>
  <cellXfs count="242">
    <xf numFmtId="0" fontId="0" fillId="0" borderId="0" pivotButton="0" quotePrefix="0" xfId="0"/>
    <xf numFmtId="0" fontId="5" fillId="35" borderId="0" applyAlignment="1" pivotButton="0" quotePrefix="0" xfId="0">
      <alignment horizontal="right" vertical="top"/>
    </xf>
    <xf numFmtId="49" fontId="2" fillId="0" borderId="0" pivotButton="0" quotePrefix="0" xfId="0"/>
    <xf numFmtId="0" fontId="2" fillId="0" borderId="0" pivotButton="0" quotePrefix="0" xfId="0"/>
    <xf numFmtId="49" fontId="3" fillId="0" borderId="0" pivotButton="0" quotePrefix="0" xfId="0"/>
    <xf numFmtId="0" fontId="6" fillId="0" borderId="0" applyAlignment="1" pivotButton="0" quotePrefix="0" xfId="0">
      <alignment horizontal="center"/>
    </xf>
    <xf numFmtId="0" fontId="5" fillId="0" borderId="0" applyAlignment="1" pivotButton="0" quotePrefix="0" xfId="0">
      <alignment horizontal="center"/>
    </xf>
    <xf numFmtId="0" fontId="5" fillId="0" borderId="0" applyAlignment="1" pivotButton="0" quotePrefix="0" xfId="0">
      <alignment horizontal="left" vertical="top"/>
    </xf>
    <xf numFmtId="0" fontId="5" fillId="0" borderId="0" applyAlignment="1" pivotButton="0" quotePrefix="0" xfId="0">
      <alignment horizontal="center" vertical="top"/>
    </xf>
    <xf numFmtId="0" fontId="6" fillId="0" borderId="0" applyAlignment="1" pivotButton="0" quotePrefix="0" xfId="0">
      <alignment horizontal="center" vertical="top"/>
    </xf>
    <xf numFmtId="0" fontId="6" fillId="0" borderId="0"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0" fillId="0" borderId="0" applyAlignment="1" pivotButton="0" quotePrefix="0" xfId="0">
      <alignment vertical="center" wrapText="1"/>
    </xf>
    <xf numFmtId="0" fontId="10" fillId="0" borderId="0" applyAlignment="1" pivotButton="0" quotePrefix="0" xfId="0">
      <alignment vertical="center" wrapText="1"/>
    </xf>
    <xf numFmtId="0" fontId="6" fillId="0" borderId="0" applyAlignment="1" applyProtection="1" pivotButton="0" quotePrefix="0" xfId="0">
      <alignment horizontal="center"/>
      <protection locked="0" hidden="0"/>
    </xf>
    <xf numFmtId="0" fontId="4" fillId="0" borderId="0" applyAlignment="1" pivotButton="0" quotePrefix="0" xfId="0">
      <alignment wrapText="1"/>
    </xf>
    <xf numFmtId="49" fontId="2" fillId="0" borderId="0" applyAlignment="1" pivotButton="0" quotePrefix="0" xfId="0">
      <alignment wrapText="1"/>
    </xf>
    <xf numFmtId="164" fontId="6" fillId="0" borderId="0" applyAlignment="1" pivotButton="0" quotePrefix="0" xfId="0">
      <alignment horizontal="right" vertical="top" indent="1"/>
    </xf>
    <xf numFmtId="164" fontId="8" fillId="0" borderId="0" applyAlignment="1" pivotButton="0" quotePrefix="0" xfId="0">
      <alignment horizontal="right" vertical="top" indent="1"/>
    </xf>
    <xf numFmtId="164" fontId="6" fillId="0" borderId="0" applyAlignment="1" pivotButton="0" quotePrefix="0" xfId="0">
      <alignment horizontal="right" indent="1"/>
    </xf>
    <xf numFmtId="0" fontId="2" fillId="0" borderId="10" pivotButton="0" quotePrefix="0" xfId="0"/>
    <xf numFmtId="0" fontId="2" fillId="0" borderId="11" pivotButton="0" quotePrefix="0" xfId="0"/>
    <xf numFmtId="0" fontId="2" fillId="0" borderId="12" pivotButton="0" quotePrefix="0" xfId="0"/>
    <xf numFmtId="0" fontId="1" fillId="0" borderId="11" applyAlignment="1" pivotButton="0" quotePrefix="0" xfId="0">
      <alignment horizontal="center"/>
    </xf>
    <xf numFmtId="0" fontId="3" fillId="0" borderId="0" pivotButton="0" quotePrefix="0" xfId="0"/>
    <xf numFmtId="0" fontId="2" fillId="0" borderId="0" applyAlignment="1" pivotButton="0" quotePrefix="0" xfId="0">
      <alignment vertical="center"/>
    </xf>
    <xf numFmtId="0" fontId="2" fillId="0" borderId="0" applyAlignment="1" pivotButton="0" quotePrefix="0" xfId="0">
      <alignment vertical="top"/>
    </xf>
    <xf numFmtId="165" fontId="4" fillId="0" borderId="0" applyAlignment="1" pivotButton="0" quotePrefix="0" xfId="0">
      <alignment vertical="center"/>
    </xf>
    <xf numFmtId="165" fontId="2" fillId="0" borderId="0" applyAlignment="1" pivotButton="0" quotePrefix="0" xfId="0">
      <alignment vertical="center"/>
    </xf>
    <xf numFmtId="0" fontId="2" fillId="0" borderId="0" applyAlignment="1" pivotButton="0" quotePrefix="0" xfId="0">
      <alignment horizontal="right" vertical="center"/>
    </xf>
    <xf numFmtId="166" fontId="2" fillId="0" borderId="13" applyAlignment="1" pivotButton="0" quotePrefix="0" xfId="0">
      <alignment vertical="center"/>
    </xf>
    <xf numFmtId="166" fontId="2" fillId="0" borderId="14" applyAlignment="1" pivotButton="0" quotePrefix="0" xfId="0">
      <alignment vertical="center"/>
    </xf>
    <xf numFmtId="166" fontId="2" fillId="0" borderId="15" applyAlignment="1" pivotButton="0" quotePrefix="0" xfId="0">
      <alignment vertical="center"/>
    </xf>
    <xf numFmtId="49" fontId="2" fillId="0" borderId="0" applyAlignment="1" pivotButton="0" quotePrefix="0" xfId="0">
      <alignment vertical="center"/>
    </xf>
    <xf numFmtId="49" fontId="2" fillId="0" borderId="0" applyAlignment="1" pivotButton="0" quotePrefix="0" xfId="0">
      <alignment horizontal="right" vertical="center"/>
    </xf>
    <xf numFmtId="166" fontId="2" fillId="0" borderId="0" applyAlignment="1" pivotButton="0" quotePrefix="0" xfId="0">
      <alignment vertical="center"/>
    </xf>
    <xf numFmtId="166" fontId="4" fillId="0" borderId="0" applyAlignment="1" pivotButton="0" quotePrefix="0" xfId="0">
      <alignment vertical="center"/>
    </xf>
    <xf numFmtId="0" fontId="3" fillId="0" borderId="0" applyAlignment="1" pivotButton="0" quotePrefix="0" xfId="0">
      <alignment horizontal="right" vertical="center"/>
    </xf>
    <xf numFmtId="166" fontId="3" fillId="0" borderId="15" applyAlignment="1" pivotButton="0" quotePrefix="0" xfId="0">
      <alignment vertical="center"/>
    </xf>
    <xf numFmtId="0" fontId="3" fillId="0" borderId="0" applyAlignment="1" pivotButton="0" quotePrefix="0" xfId="0">
      <alignment vertical="center"/>
    </xf>
    <xf numFmtId="49" fontId="6" fillId="0" borderId="0" applyAlignment="1" pivotButton="0" quotePrefix="0" xfId="0">
      <alignment horizontal="left" vertical="center"/>
    </xf>
    <xf numFmtId="166" fontId="6" fillId="0" borderId="0" applyAlignment="1" pivotButton="0" quotePrefix="0" xfId="0">
      <alignment horizontal="right" vertical="center"/>
    </xf>
    <xf numFmtId="164" fontId="6" fillId="0" borderId="0" applyAlignment="1" pivotButton="0" quotePrefix="0" xfId="0">
      <alignment horizontal="right" vertical="center"/>
    </xf>
    <xf numFmtId="49" fontId="5" fillId="0" borderId="0" applyAlignment="1" pivotButton="0" quotePrefix="0" xfId="0">
      <alignment horizontal="center" vertical="center"/>
    </xf>
    <xf numFmtId="0" fontId="6" fillId="0" borderId="0" applyAlignment="1" pivotButton="0" quotePrefix="0" xfId="0">
      <alignment horizontal="center" vertical="center"/>
    </xf>
    <xf numFmtId="49" fontId="6" fillId="0" borderId="0" applyAlignment="1" applyProtection="1" pivotButton="0" quotePrefix="0" xfId="0">
      <alignment vertical="center" wrapText="1"/>
      <protection locked="0" hidden="0"/>
    </xf>
    <xf numFmtId="0" fontId="6" fillId="0" borderId="0" applyAlignment="1" applyProtection="1" pivotButton="0" quotePrefix="0" xfId="0">
      <alignment horizontal="center" vertical="center"/>
      <protection locked="0" hidden="0"/>
    </xf>
    <xf numFmtId="166" fontId="6" fillId="0" borderId="0" applyAlignment="1" applyProtection="1" pivotButton="0" quotePrefix="0" xfId="0">
      <alignment horizontal="right" vertical="center"/>
      <protection locked="0" hidden="0"/>
    </xf>
    <xf numFmtId="10" fontId="6" fillId="0" borderId="0" applyAlignment="1" applyProtection="1" pivotButton="0" quotePrefix="0" xfId="0">
      <alignment horizontal="center" vertical="center"/>
      <protection locked="0" hidden="0"/>
    </xf>
    <xf numFmtId="0" fontId="6"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wrapText="1"/>
    </xf>
    <xf numFmtId="0" fontId="6" fillId="0" borderId="0" applyAlignment="1" applyProtection="1" pivotButton="0" quotePrefix="0" xfId="0">
      <alignment horizontal="left" wrapText="1"/>
      <protection locked="0" hidden="0"/>
    </xf>
    <xf numFmtId="0" fontId="10" fillId="34" borderId="0" applyAlignment="1" pivotButton="0" quotePrefix="0" xfId="39">
      <alignment vertical="top"/>
    </xf>
    <xf numFmtId="0" fontId="31" fillId="0" borderId="0" applyAlignment="1" pivotButton="0" quotePrefix="0" xfId="39">
      <alignment vertical="top"/>
    </xf>
    <xf numFmtId="0" fontId="10" fillId="0" borderId="0" applyAlignment="1" pivotButton="0" quotePrefix="0" xfId="39">
      <alignment vertical="top"/>
    </xf>
    <xf numFmtId="0" fontId="31" fillId="0" borderId="0" applyAlignment="1" pivotButton="0" quotePrefix="0" xfId="39">
      <alignment vertical="top" wrapText="1"/>
    </xf>
    <xf numFmtId="0" fontId="10" fillId="34" borderId="0" applyAlignment="1" pivotButton="0" quotePrefix="0" xfId="39">
      <alignment vertical="top" wrapText="1"/>
    </xf>
    <xf numFmtId="0" fontId="2" fillId="0" borderId="0" applyAlignment="1" applyProtection="1" pivotButton="0" quotePrefix="0" xfId="0">
      <alignment vertical="top"/>
      <protection locked="0" hidden="0"/>
    </xf>
    <xf numFmtId="0" fontId="2" fillId="0" borderId="0" applyProtection="1" pivotButton="0" quotePrefix="0" xfId="0">
      <protection locked="0" hidden="0"/>
    </xf>
    <xf numFmtId="0" fontId="6" fillId="0" borderId="0" applyAlignment="1" pivotButton="0" quotePrefix="0" xfId="0">
      <alignment horizontal="left"/>
    </xf>
    <xf numFmtId="167" fontId="6" fillId="0" borderId="0" applyAlignment="1" applyProtection="1" pivotButton="0" quotePrefix="0" xfId="0">
      <alignment horizontal="center" vertical="top"/>
      <protection locked="0" hidden="0"/>
    </xf>
    <xf numFmtId="167" fontId="9" fillId="0" borderId="0" applyAlignment="1" applyProtection="1" pivotButton="0" quotePrefix="0" xfId="0">
      <alignment horizontal="center" vertical="top"/>
      <protection locked="0" hidden="0"/>
    </xf>
    <xf numFmtId="167" fontId="6" fillId="0" borderId="0" applyAlignment="1" applyProtection="1" pivotButton="0" quotePrefix="0" xfId="0">
      <alignment horizontal="center"/>
      <protection locked="0" hidden="0"/>
    </xf>
    <xf numFmtId="168" fontId="6" fillId="0" borderId="0" applyAlignment="1" applyProtection="1" pivotButton="0" quotePrefix="0" xfId="0">
      <alignment horizontal="right" vertical="top"/>
      <protection locked="0" hidden="0"/>
    </xf>
    <xf numFmtId="168" fontId="5" fillId="0" borderId="0" applyAlignment="1" applyProtection="1" pivotButton="0" quotePrefix="0" xfId="0">
      <alignment horizontal="right" vertical="top"/>
      <protection locked="0" hidden="0"/>
    </xf>
    <xf numFmtId="168" fontId="6" fillId="0" borderId="0" applyAlignment="1" applyProtection="1" pivotButton="0" quotePrefix="0" xfId="0">
      <alignment horizontal="right"/>
      <protection locked="0" hidden="0"/>
    </xf>
    <xf numFmtId="168" fontId="6" fillId="0" borderId="0" applyAlignment="1" pivotButton="0" quotePrefix="0" xfId="0">
      <alignment horizontal="right" vertical="top"/>
    </xf>
    <xf numFmtId="168" fontId="8" fillId="0" borderId="0" applyAlignment="1" pivotButton="0" quotePrefix="0" xfId="0">
      <alignment horizontal="right" vertical="top"/>
    </xf>
    <xf numFmtId="168" fontId="6" fillId="0" borderId="0" applyAlignment="1" pivotButton="0" quotePrefix="0" xfId="0">
      <alignment horizontal="right"/>
    </xf>
    <xf numFmtId="0" fontId="5" fillId="0" borderId="0" applyAlignment="1" applyProtection="1" pivotButton="0" quotePrefix="0" xfId="0">
      <alignment horizontal="left" wrapText="1"/>
      <protection locked="0" hidden="0"/>
    </xf>
    <xf numFmtId="0" fontId="10" fillId="0" borderId="0" pivotButton="0" quotePrefix="0" xfId="0"/>
    <xf numFmtId="168" fontId="28" fillId="0" borderId="0" applyAlignment="1" applyProtection="1" pivotButton="0" quotePrefix="0" xfId="0">
      <alignment horizontal="right" vertical="top"/>
      <protection locked="0" hidden="0"/>
    </xf>
    <xf numFmtId="168" fontId="29" fillId="0" borderId="0" applyAlignment="1" applyProtection="1" pivotButton="0" quotePrefix="0" xfId="0">
      <alignment horizontal="right" vertical="top"/>
      <protection locked="0" hidden="0"/>
    </xf>
    <xf numFmtId="0" fontId="28" fillId="0" borderId="0" applyAlignment="1" applyProtection="1" pivotButton="0" quotePrefix="0" xfId="0">
      <alignment horizontal="right" vertical="top" indent="1"/>
      <protection locked="0" hidden="0"/>
    </xf>
    <xf numFmtId="0" fontId="29" fillId="0" borderId="0" applyAlignment="1" applyProtection="1" pivotButton="0" quotePrefix="0" xfId="0">
      <alignment horizontal="right" vertical="top" indent="1"/>
      <protection locked="0" hidden="0"/>
    </xf>
    <xf numFmtId="0" fontId="5" fillId="0" borderId="0" applyAlignment="1" pivotButton="0" quotePrefix="1" xfId="0">
      <alignment horizontal="left" vertical="top"/>
    </xf>
    <xf numFmtId="0" fontId="5" fillId="0" borderId="0" applyAlignment="1" pivotButton="0" quotePrefix="1" xfId="0">
      <alignment horizontal="left" vertical="top" wrapText="1"/>
    </xf>
    <xf numFmtId="0" fontId="29" fillId="0" borderId="0" applyAlignment="1" applyProtection="1" pivotButton="0" quotePrefix="0" xfId="0">
      <alignment horizontal="left" vertical="top" wrapText="1"/>
      <protection locked="0" hidden="0"/>
    </xf>
    <xf numFmtId="168" fontId="5" fillId="0" borderId="0" applyAlignment="1" pivotButton="0" quotePrefix="0" xfId="0">
      <alignment horizontal="right" vertical="top"/>
    </xf>
    <xf numFmtId="167" fontId="5" fillId="0" borderId="0" applyAlignment="1" applyProtection="1" pivotButton="0" quotePrefix="0" xfId="0">
      <alignment horizontal="center" vertical="top"/>
      <protection locked="0" hidden="0"/>
    </xf>
    <xf numFmtId="164" fontId="5" fillId="0" borderId="0" applyAlignment="1" pivotButton="0" quotePrefix="0" xfId="0">
      <alignment horizontal="right" vertical="top" indent="1"/>
    </xf>
    <xf numFmtId="0" fontId="6" fillId="0" borderId="0" applyAlignment="1" pivotButton="0" quotePrefix="1" xfId="0">
      <alignment horizontal="left" vertical="top"/>
    </xf>
    <xf numFmtId="0" fontId="6" fillId="0" borderId="0" applyAlignment="1" pivotButton="0" quotePrefix="1" xfId="0">
      <alignment horizontal="left" vertical="top" wrapText="1"/>
    </xf>
    <xf numFmtId="0" fontId="28" fillId="0" borderId="0" applyAlignment="1" applyProtection="1" pivotButton="0" quotePrefix="0" xfId="0">
      <alignment horizontal="left" vertical="top" wrapText="1"/>
      <protection locked="0" hidden="0"/>
    </xf>
    <xf numFmtId="0" fontId="6" fillId="0" borderId="0" applyAlignment="1" pivotButton="0" quotePrefix="0" xfId="0">
      <alignment horizontal="left" vertical="top"/>
    </xf>
    <xf numFmtId="0" fontId="6" fillId="0" borderId="0" applyAlignment="1" pivotButton="0" quotePrefix="0" xfId="0">
      <alignment horizontal="right" vertical="top"/>
    </xf>
    <xf numFmtId="167" fontId="6" fillId="0" borderId="0" applyAlignment="1" applyProtection="1" pivotButton="0" quotePrefix="0" xfId="0">
      <alignment horizontal="right" vertical="top"/>
      <protection locked="0" hidden="0"/>
    </xf>
    <xf numFmtId="168" fontId="5" fillId="35" borderId="0" applyAlignment="1" pivotButton="0" quotePrefix="0" xfId="0">
      <alignment horizontal="right" vertical="top"/>
    </xf>
    <xf numFmtId="167" fontId="5" fillId="35" borderId="0" applyAlignment="1" applyProtection="1" pivotButton="0" quotePrefix="0" xfId="0">
      <alignment horizontal="right" vertical="top"/>
      <protection locked="0" hidden="0"/>
    </xf>
    <xf numFmtId="164" fontId="5" fillId="35" borderId="0" applyAlignment="1" pivotButton="0" quotePrefix="0" xfId="0">
      <alignment horizontal="right" vertical="top" indent="1"/>
    </xf>
    <xf numFmtId="0" fontId="5" fillId="33" borderId="0" applyAlignment="1" pivotButton="0" quotePrefix="0" xfId="0">
      <alignment horizontal="center" vertical="top"/>
    </xf>
    <xf numFmtId="0" fontId="5" fillId="33" borderId="0" applyAlignment="1" pivotButton="0" quotePrefix="0" xfId="0">
      <alignment horizontal="left" vertical="top"/>
    </xf>
    <xf numFmtId="0" fontId="5" fillId="33" borderId="0" applyAlignment="1" pivotButton="0" quotePrefix="0" xfId="0">
      <alignment horizontal="left" vertical="top" wrapText="1"/>
    </xf>
    <xf numFmtId="0" fontId="5" fillId="33" borderId="0" applyAlignment="1" pivotButton="0" quotePrefix="0" xfId="0">
      <alignment horizontal="center" vertical="top" wrapText="1"/>
    </xf>
    <xf numFmtId="0" fontId="5" fillId="33" borderId="0" applyAlignment="1" applyProtection="1" pivotButton="0" quotePrefix="0" xfId="0">
      <alignment horizontal="center" vertical="top" wrapText="1"/>
      <protection locked="0" hidden="0"/>
    </xf>
    <xf numFmtId="168" fontId="29" fillId="33" borderId="0" applyAlignment="1" applyProtection="1" pivotButton="0" quotePrefix="0" xfId="0">
      <alignment horizontal="right" vertical="top"/>
      <protection locked="0" hidden="0"/>
    </xf>
    <xf numFmtId="0" fontId="29" fillId="33" borderId="0" applyAlignment="1" applyProtection="1" pivotButton="0" quotePrefix="0" xfId="0">
      <alignment horizontal="center" vertical="top"/>
      <protection locked="0" hidden="0"/>
    </xf>
    <xf numFmtId="167" fontId="5" fillId="33" borderId="0" applyAlignment="1" applyProtection="1" pivotButton="0" quotePrefix="0" xfId="0">
      <alignment horizontal="center" vertical="top"/>
      <protection locked="0" hidden="0"/>
    </xf>
    <xf numFmtId="166" fontId="5" fillId="33" borderId="0" applyAlignment="1" pivotButton="0" quotePrefix="0" xfId="0">
      <alignment horizontal="left" vertical="top" indent="1"/>
    </xf>
    <xf numFmtId="0" fontId="5" fillId="35" borderId="0" applyAlignment="1" pivotButton="0" quotePrefix="0" xfId="0">
      <alignment horizontal="center" vertical="top"/>
    </xf>
    <xf numFmtId="0" fontId="5" fillId="35" borderId="0" applyAlignment="1" applyProtection="1" pivotButton="0" quotePrefix="0" xfId="0">
      <alignment horizontal="left" vertical="top" wrapText="1"/>
      <protection locked="0" hidden="0"/>
    </xf>
    <xf numFmtId="0" fontId="10" fillId="0" borderId="0" applyAlignment="1" applyProtection="1" pivotButton="0" quotePrefix="0" xfId="0">
      <alignment horizontal="left" vertical="top" wrapText="1"/>
      <protection locked="0" hidden="0"/>
    </xf>
    <xf numFmtId="0" fontId="6" fillId="0" borderId="0" applyAlignment="1" applyProtection="1" pivotButton="0" quotePrefix="0" xfId="0">
      <alignment horizontal="left" vertical="top" wrapText="1"/>
      <protection locked="0" hidden="0"/>
    </xf>
    <xf numFmtId="49" fontId="5" fillId="0" borderId="0" applyAlignment="1" pivotButton="0" quotePrefix="0" xfId="0">
      <alignment vertical="top"/>
    </xf>
    <xf numFmtId="49" fontId="6" fillId="0" borderId="0" applyAlignment="1" pivotButton="0" quotePrefix="0" xfId="0">
      <alignment horizontal="left" vertical="top"/>
    </xf>
    <xf numFmtId="166" fontId="6" fillId="0" borderId="0" applyAlignment="1" pivotButton="0" quotePrefix="0" xfId="0">
      <alignment horizontal="right" vertical="top"/>
    </xf>
    <xf numFmtId="164" fontId="6" fillId="0" borderId="0" applyAlignment="1" pivotButton="0" quotePrefix="0" xfId="0">
      <alignment horizontal="right" vertical="top"/>
    </xf>
    <xf numFmtId="49" fontId="5" fillId="0" borderId="0" applyAlignment="1" pivotButton="0" quotePrefix="0" xfId="0">
      <alignment horizontal="left" vertical="top"/>
    </xf>
    <xf numFmtId="166" fontId="5" fillId="0" borderId="0" applyAlignment="1" pivotButton="0" quotePrefix="0" xfId="0">
      <alignment horizontal="right" vertical="top"/>
    </xf>
    <xf numFmtId="166" fontId="8" fillId="0" borderId="0" applyAlignment="1" pivotButton="0" quotePrefix="0" xfId="0">
      <alignment horizontal="right" vertical="top"/>
    </xf>
    <xf numFmtId="164" fontId="7" fillId="0" borderId="0" applyAlignment="1" pivotButton="0" quotePrefix="0" xfId="0">
      <alignment horizontal="right" vertical="top"/>
    </xf>
    <xf numFmtId="49" fontId="5" fillId="33" borderId="16" applyAlignment="1" pivotButton="0" quotePrefix="0" xfId="0">
      <alignment vertical="top" wrapText="1"/>
    </xf>
    <xf numFmtId="49" fontId="5" fillId="33" borderId="17" applyAlignment="1" pivotButton="0" quotePrefix="0" xfId="0">
      <alignment horizontal="center" vertical="top"/>
    </xf>
    <xf numFmtId="166" fontId="5" fillId="33" borderId="17" applyAlignment="1" pivotButton="0" quotePrefix="0" xfId="0">
      <alignment horizontal="right" vertical="top"/>
    </xf>
    <xf numFmtId="166" fontId="5" fillId="33" borderId="17" applyAlignment="1" pivotButton="0" quotePrefix="0" xfId="0">
      <alignment horizontal="center" vertical="top"/>
    </xf>
    <xf numFmtId="49" fontId="5" fillId="33" borderId="18" applyAlignment="1" pivotButton="0" quotePrefix="0" xfId="0">
      <alignment horizontal="center" vertical="top"/>
    </xf>
    <xf numFmtId="164" fontId="5" fillId="33" borderId="19" applyAlignment="1" pivotButton="0" quotePrefix="0" xfId="0">
      <alignment horizontal="right" vertical="top"/>
    </xf>
    <xf numFmtId="49" fontId="6" fillId="0" borderId="20" applyAlignment="1" applyProtection="1" pivotButton="0" quotePrefix="0" xfId="0">
      <alignment vertical="top" wrapText="1"/>
      <protection locked="0" hidden="0"/>
    </xf>
    <xf numFmtId="0" fontId="6" fillId="0" borderId="21" applyAlignment="1" applyProtection="1" pivotButton="0" quotePrefix="0" xfId="0">
      <alignment horizontal="center" vertical="top"/>
      <protection locked="0" hidden="0"/>
    </xf>
    <xf numFmtId="49" fontId="6" fillId="0" borderId="21" applyAlignment="1" applyProtection="1" pivotButton="0" quotePrefix="0" xfId="0">
      <alignment horizontal="left" vertical="top" wrapText="1"/>
      <protection locked="0" hidden="0"/>
    </xf>
    <xf numFmtId="166" fontId="6" fillId="0" borderId="21" applyAlignment="1" pivotButton="0" quotePrefix="0" xfId="0">
      <alignment horizontal="right" vertical="top"/>
    </xf>
    <xf numFmtId="10" fontId="6" fillId="0" borderId="22" applyAlignment="1" applyProtection="1" pivotButton="0" quotePrefix="0" xfId="0">
      <alignment horizontal="center" vertical="top"/>
      <protection locked="0" hidden="0"/>
    </xf>
    <xf numFmtId="164" fontId="6" fillId="0" borderId="23" applyAlignment="1" pivotButton="0" quotePrefix="0" xfId="0">
      <alignment horizontal="right" vertical="top"/>
    </xf>
    <xf numFmtId="49" fontId="6" fillId="0" borderId="24" applyAlignment="1" applyProtection="1" pivotButton="0" quotePrefix="0" xfId="0">
      <alignment vertical="top" wrapText="1"/>
      <protection locked="0" hidden="0"/>
    </xf>
    <xf numFmtId="0" fontId="6" fillId="0" borderId="25" applyAlignment="1" applyProtection="1" pivotButton="0" quotePrefix="0" xfId="0">
      <alignment horizontal="center" vertical="top"/>
      <protection locked="0" hidden="0"/>
    </xf>
    <xf numFmtId="49" fontId="6" fillId="0" borderId="25" applyAlignment="1" applyProtection="1" pivotButton="0" quotePrefix="0" xfId="0">
      <alignment horizontal="left" vertical="top" wrapText="1"/>
      <protection locked="0" hidden="0"/>
    </xf>
    <xf numFmtId="166" fontId="6" fillId="0" borderId="25" applyAlignment="1" pivotButton="0" quotePrefix="0" xfId="0">
      <alignment horizontal="right" vertical="top"/>
    </xf>
    <xf numFmtId="10" fontId="6" fillId="0" borderId="26" applyAlignment="1" applyProtection="1" pivotButton="0" quotePrefix="0" xfId="0">
      <alignment horizontal="center" vertical="top"/>
      <protection locked="0" hidden="0"/>
    </xf>
    <xf numFmtId="164" fontId="6" fillId="0" borderId="27" applyAlignment="1" pivotButton="0" quotePrefix="0" xfId="0">
      <alignment horizontal="right" vertical="top"/>
    </xf>
    <xf numFmtId="49" fontId="5" fillId="33" borderId="10" applyAlignment="1" applyProtection="1" pivotButton="0" quotePrefix="0" xfId="0">
      <alignment vertical="top" wrapText="1"/>
      <protection locked="0" hidden="0"/>
    </xf>
    <xf numFmtId="0" fontId="5" fillId="33" borderId="11" applyAlignment="1" applyProtection="1" pivotButton="0" quotePrefix="0" xfId="0">
      <alignment horizontal="center" vertical="top"/>
      <protection locked="0" hidden="0"/>
    </xf>
    <xf numFmtId="166" fontId="5" fillId="33" borderId="11" applyAlignment="1" applyProtection="1" pivotButton="0" quotePrefix="0" xfId="0">
      <alignment horizontal="right" vertical="top" wrapText="1"/>
      <protection locked="0" hidden="0"/>
    </xf>
    <xf numFmtId="166" fontId="5" fillId="33" borderId="11" applyAlignment="1" pivotButton="0" quotePrefix="0" xfId="0">
      <alignment horizontal="right" vertical="top"/>
    </xf>
    <xf numFmtId="10" fontId="5" fillId="33" borderId="12" applyAlignment="1" applyProtection="1" pivotButton="0" quotePrefix="0" xfId="0">
      <alignment horizontal="center" vertical="top"/>
      <protection locked="0" hidden="0"/>
    </xf>
    <xf numFmtId="49" fontId="5" fillId="0" borderId="28" applyAlignment="1" applyProtection="1" pivotButton="0" quotePrefix="0" xfId="0">
      <alignment vertical="top" wrapText="1"/>
      <protection locked="0" hidden="0"/>
    </xf>
    <xf numFmtId="166" fontId="5" fillId="0" borderId="0" applyAlignment="1" applyProtection="1" pivotButton="0" quotePrefix="0" xfId="0">
      <alignment horizontal="right" vertical="top" wrapText="1"/>
      <protection locked="0" hidden="0"/>
    </xf>
    <xf numFmtId="10" fontId="5" fillId="0" borderId="29" applyAlignment="1" applyProtection="1" pivotButton="0" quotePrefix="0" xfId="0">
      <alignment horizontal="center" vertical="top"/>
      <protection locked="0" hidden="0"/>
    </xf>
    <xf numFmtId="168" fontId="5" fillId="33" borderId="17" applyAlignment="1" pivotButton="0" quotePrefix="0" xfId="0">
      <alignment horizontal="right" vertical="top"/>
    </xf>
    <xf numFmtId="168" fontId="6" fillId="0" borderId="21" applyAlignment="1" applyProtection="1" pivotButton="0" quotePrefix="0" xfId="0">
      <alignment horizontal="right" vertical="top"/>
      <protection locked="0" hidden="0"/>
    </xf>
    <xf numFmtId="168" fontId="6" fillId="0" borderId="25" applyAlignment="1" applyProtection="1" pivotButton="0" quotePrefix="0" xfId="0">
      <alignment horizontal="right" vertical="top"/>
      <protection locked="0" hidden="0"/>
    </xf>
    <xf numFmtId="168" fontId="5" fillId="33" borderId="11" applyAlignment="1" applyProtection="1" pivotButton="0" quotePrefix="0" xfId="0">
      <alignment horizontal="right" vertical="top"/>
      <protection locked="0" hidden="0"/>
    </xf>
    <xf numFmtId="168"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left" wrapText="1"/>
      <protection locked="0" hidden="0"/>
    </xf>
    <xf numFmtId="168" fontId="6" fillId="0" borderId="0" applyAlignment="1" applyProtection="1" pivotButton="0" quotePrefix="0" xfId="0">
      <alignment horizontal="left" wrapText="1"/>
      <protection locked="0" hidden="0"/>
    </xf>
    <xf numFmtId="167" fontId="6" fillId="0" borderId="0" applyAlignment="1" applyProtection="1" pivotButton="0" quotePrefix="0" xfId="0">
      <alignment horizontal="left" wrapText="1"/>
      <protection locked="0" hidden="0"/>
    </xf>
    <xf numFmtId="164" fontId="6" fillId="0" borderId="0" applyAlignment="1" applyProtection="1" pivotButton="0" quotePrefix="0" xfId="0">
      <alignment horizontal="left" wrapText="1" indent="1"/>
      <protection locked="0" hidden="0"/>
    </xf>
    <xf numFmtId="0" fontId="3" fillId="35" borderId="30" applyAlignment="1" pivotButton="0" quotePrefix="0" xfId="0">
      <alignment horizontal="center" vertical="center" wrapText="1"/>
    </xf>
    <xf numFmtId="0" fontId="3" fillId="35" borderId="31" applyAlignment="1" pivotButton="0" quotePrefix="0" xfId="0">
      <alignment horizontal="left" vertical="center" wrapText="1"/>
    </xf>
    <xf numFmtId="0" fontId="3" fillId="35" borderId="31" applyAlignment="1" pivotButton="0" quotePrefix="0" xfId="0">
      <alignment horizontal="center" vertical="center" wrapText="1"/>
    </xf>
    <xf numFmtId="0" fontId="3" fillId="35" borderId="31" applyAlignment="1" applyProtection="1" pivotButton="0" quotePrefix="0" xfId="0">
      <alignment horizontal="center" vertical="center" wrapText="1"/>
      <protection locked="0" hidden="0"/>
    </xf>
    <xf numFmtId="168" fontId="30" fillId="35" borderId="31" applyAlignment="1" applyProtection="1" pivotButton="0" quotePrefix="0" xfId="0">
      <alignment horizontal="right" vertical="center" wrapText="1"/>
      <protection locked="0" hidden="0"/>
    </xf>
    <xf numFmtId="0" fontId="30" fillId="35" borderId="31" applyAlignment="1" applyProtection="1" pivotButton="0" quotePrefix="0" xfId="0">
      <alignment horizontal="center" vertical="center" wrapText="1"/>
      <protection locked="0" hidden="0"/>
    </xf>
    <xf numFmtId="168" fontId="3" fillId="35" borderId="31" applyAlignment="1" pivotButton="0" quotePrefix="0" xfId="0">
      <alignment horizontal="right" vertical="center" wrapText="1"/>
    </xf>
    <xf numFmtId="167" fontId="3" fillId="35" borderId="31" applyAlignment="1" applyProtection="1" pivotButton="0" quotePrefix="0" xfId="0">
      <alignment horizontal="center" vertical="center" wrapText="1"/>
      <protection locked="0" hidden="0"/>
    </xf>
    <xf numFmtId="164" fontId="3" fillId="35" borderId="31" applyAlignment="1" pivotButton="0" quotePrefix="0" xfId="0">
      <alignment horizontal="center" vertical="center" wrapText="1"/>
    </xf>
    <xf numFmtId="0" fontId="3" fillId="35" borderId="32" applyAlignment="1" applyProtection="1" pivotButton="0" quotePrefix="0" xfId="0">
      <alignment horizontal="left" vertical="center" wrapText="1"/>
      <protection locked="0" hidden="0"/>
    </xf>
    <xf numFmtId="0" fontId="5" fillId="35" borderId="0" applyAlignment="1" applyProtection="1" pivotButton="0" quotePrefix="0" xfId="0">
      <alignment horizontal="right" vertical="top" wrapText="1"/>
      <protection locked="0" hidden="0"/>
    </xf>
    <xf numFmtId="0" fontId="5" fillId="35" borderId="0" applyAlignment="1" pivotButton="0" quotePrefix="0" xfId="0">
      <alignment horizontal="right" vertical="top"/>
    </xf>
    <xf numFmtId="0" fontId="5" fillId="35" borderId="0" applyAlignment="1" pivotButton="0" quotePrefix="0" xfId="0">
      <alignment horizontal="right" vertical="top" wrapText="1"/>
    </xf>
    <xf numFmtId="0" fontId="5" fillId="35" borderId="0" applyAlignment="1" applyProtection="1" pivotButton="0" quotePrefix="0" xfId="0">
      <alignment horizontal="right" vertical="top"/>
      <protection locked="0" hidden="0"/>
    </xf>
    <xf numFmtId="168" fontId="5" fillId="35" borderId="0" applyAlignment="1" applyProtection="1" pivotButton="0" quotePrefix="0" xfId="0">
      <alignment horizontal="right" vertical="top"/>
      <protection locked="0" hidden="0"/>
    </xf>
    <xf numFmtId="0" fontId="6" fillId="0" borderId="0" applyAlignment="1" applyProtection="1" pivotButton="0" quotePrefix="0" xfId="0">
      <alignment horizontal="right" vertical="top" wrapText="1"/>
      <protection locked="0" hidden="0"/>
    </xf>
    <xf numFmtId="0" fontId="6" fillId="0" borderId="0" applyAlignment="1" pivotButton="0" quotePrefix="0" xfId="0">
      <alignment horizontal="right" vertical="top"/>
    </xf>
    <xf numFmtId="0" fontId="6" fillId="0" borderId="0" applyAlignment="1" pivotButton="0" quotePrefix="0" xfId="0">
      <alignment horizontal="right" vertical="top" wrapText="1"/>
    </xf>
    <xf numFmtId="0" fontId="6" fillId="0" borderId="0" applyAlignment="1" applyProtection="1" pivotButton="0" quotePrefix="0" xfId="0">
      <alignment horizontal="right" vertical="top"/>
      <protection locked="0" hidden="0"/>
    </xf>
    <xf numFmtId="168" fontId="6" fillId="0" borderId="0" applyAlignment="1" applyProtection="1" pivotButton="0" quotePrefix="0" xfId="0">
      <alignment horizontal="right" vertical="top"/>
      <protection locked="0" hidden="0"/>
    </xf>
    <xf numFmtId="0" fontId="6" fillId="0" borderId="0" applyAlignment="1" pivotButton="0" quotePrefix="0" xfId="0">
      <alignment horizontal="left" vertical="center" wrapText="1"/>
    </xf>
    <xf numFmtId="0" fontId="6" fillId="0" borderId="0" applyAlignment="1" applyProtection="1" pivotButton="0" quotePrefix="0" xfId="0">
      <alignment horizontal="left" vertical="center" wrapText="1"/>
      <protection locked="0" hidden="0"/>
    </xf>
    <xf numFmtId="168" fontId="6" fillId="0" borderId="0" applyAlignment="1" applyProtection="1" pivotButton="0" quotePrefix="0" xfId="0">
      <alignment horizontal="left" vertical="center" wrapText="1"/>
      <protection locked="0" hidden="0"/>
    </xf>
    <xf numFmtId="168" fontId="6" fillId="0" borderId="0" applyAlignment="1" pivotButton="0" quotePrefix="0" xfId="0">
      <alignment horizontal="left" vertical="center" wrapText="1"/>
    </xf>
    <xf numFmtId="167" fontId="6" fillId="0" borderId="0" applyAlignment="1" applyProtection="1" pivotButton="0" quotePrefix="0" xfId="0">
      <alignment horizontal="left" vertical="center" wrapText="1"/>
      <protection locked="0" hidden="0"/>
    </xf>
    <xf numFmtId="164" fontId="6" fillId="0" borderId="0" applyAlignment="1" pivotButton="0" quotePrefix="0" xfId="0">
      <alignment horizontal="left" vertical="center" wrapText="1" indent="1"/>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wrapText="1"/>
    </xf>
    <xf numFmtId="0" fontId="0" fillId="0" borderId="0" applyAlignment="1" pivotButton="0" quotePrefix="0" xfId="0">
      <alignment vertical="top" wrapText="1"/>
    </xf>
    <xf numFmtId="49" fontId="4" fillId="0" borderId="0" applyAlignment="1" pivotButton="0" quotePrefix="0" xfId="0">
      <alignment vertical="top"/>
    </xf>
    <xf numFmtId="0" fontId="3" fillId="0" borderId="0" applyAlignment="1" pivotButton="0" quotePrefix="0" xfId="0">
      <alignment vertical="top" wrapText="1"/>
    </xf>
    <xf numFmtId="0" fontId="10" fillId="0" borderId="0" applyAlignment="1" pivotButton="0" quotePrefix="0" xfId="0">
      <alignment vertical="top" wrapText="1"/>
    </xf>
    <xf numFmtId="0" fontId="3" fillId="0" borderId="0" applyAlignment="1" pivotButton="0" quotePrefix="0" xfId="0">
      <alignment vertical="top"/>
    </xf>
    <xf numFmtId="0" fontId="2" fillId="0" borderId="0" pivotButton="0" quotePrefix="0" xfId="0"/>
    <xf numFmtId="165" fontId="4" fillId="0" borderId="0" applyAlignment="1" pivotButton="0" quotePrefix="0" xfId="0">
      <alignment vertical="center"/>
    </xf>
    <xf numFmtId="165" fontId="2" fillId="0" borderId="0" applyAlignment="1" pivotButton="0" quotePrefix="0" xfId="0">
      <alignment vertical="center"/>
    </xf>
    <xf numFmtId="166" fontId="2" fillId="0" borderId="13" applyAlignment="1" pivotButton="0" quotePrefix="0" xfId="0">
      <alignment vertical="center"/>
    </xf>
    <xf numFmtId="166" fontId="2" fillId="0" borderId="14" applyAlignment="1" pivotButton="0" quotePrefix="0" xfId="0">
      <alignment vertical="center"/>
    </xf>
    <xf numFmtId="166" fontId="2" fillId="0" borderId="15" applyAlignment="1" pivotButton="0" quotePrefix="0" xfId="0">
      <alignment vertical="center"/>
    </xf>
    <xf numFmtId="166" fontId="2" fillId="0" borderId="0" applyAlignment="1" pivotButton="0" quotePrefix="0" xfId="0">
      <alignment vertical="center"/>
    </xf>
    <xf numFmtId="166" fontId="4" fillId="0" borderId="0" applyAlignment="1" pivotButton="0" quotePrefix="0" xfId="0">
      <alignment vertical="center"/>
    </xf>
    <xf numFmtId="166" fontId="3" fillId="0" borderId="15" applyAlignment="1" pivotButton="0" quotePrefix="0" xfId="0">
      <alignment vertical="center"/>
    </xf>
    <xf numFmtId="168" fontId="6" fillId="0" borderId="0" applyAlignment="1" applyProtection="1" pivotButton="0" quotePrefix="0" xfId="0">
      <alignment horizontal="right"/>
      <protection locked="0" hidden="0"/>
    </xf>
    <xf numFmtId="168" fontId="6" fillId="0" borderId="0" applyAlignment="1" pivotButton="0" quotePrefix="0" xfId="0">
      <alignment horizontal="right"/>
    </xf>
    <xf numFmtId="167" fontId="6" fillId="0" borderId="0" applyAlignment="1" applyProtection="1" pivotButton="0" quotePrefix="0" xfId="0">
      <alignment horizontal="center"/>
      <protection locked="0" hidden="0"/>
    </xf>
    <xf numFmtId="164" fontId="6" fillId="0" borderId="0" applyAlignment="1" pivotButton="0" quotePrefix="0" xfId="0">
      <alignment horizontal="right" indent="1"/>
    </xf>
    <xf numFmtId="168" fontId="28" fillId="0" borderId="0" applyAlignment="1" applyProtection="1" pivotButton="0" quotePrefix="0" xfId="0">
      <alignment horizontal="right" vertical="top"/>
      <protection locked="0" hidden="0"/>
    </xf>
    <xf numFmtId="168" fontId="6" fillId="0" borderId="0" applyAlignment="1" pivotButton="0" quotePrefix="0" xfId="0">
      <alignment horizontal="right" vertical="top"/>
    </xf>
    <xf numFmtId="167" fontId="6" fillId="0" borderId="0" applyAlignment="1" applyProtection="1" pivotButton="0" quotePrefix="0" xfId="0">
      <alignment horizontal="center" vertical="top"/>
      <protection locked="0" hidden="0"/>
    </xf>
    <xf numFmtId="164" fontId="6" fillId="0" borderId="0" applyAlignment="1" pivotButton="0" quotePrefix="0" xfId="0">
      <alignment horizontal="right" vertical="top" indent="1"/>
    </xf>
    <xf numFmtId="168" fontId="29" fillId="0" borderId="0" applyAlignment="1" applyProtection="1" pivotButton="0" quotePrefix="0" xfId="0">
      <alignment horizontal="right" vertical="top"/>
      <protection locked="0" hidden="0"/>
    </xf>
    <xf numFmtId="168" fontId="8" fillId="0" borderId="0" applyAlignment="1" pivotButton="0" quotePrefix="0" xfId="0">
      <alignment horizontal="right" vertical="top"/>
    </xf>
    <xf numFmtId="167" fontId="9" fillId="0" borderId="0" applyAlignment="1" applyProtection="1" pivotButton="0" quotePrefix="0" xfId="0">
      <alignment horizontal="center" vertical="top"/>
      <protection locked="0" hidden="0"/>
    </xf>
    <xf numFmtId="164" fontId="8" fillId="0" borderId="0" applyAlignment="1" pivotButton="0" quotePrefix="0" xfId="0">
      <alignment horizontal="right" vertical="top" indent="1"/>
    </xf>
    <xf numFmtId="0" fontId="3" fillId="35" borderId="21" applyAlignment="1" pivotButton="0" quotePrefix="0" xfId="0">
      <alignment horizontal="center" vertical="center" wrapText="1"/>
    </xf>
    <xf numFmtId="0" fontId="0" fillId="0" borderId="31" pivotButton="0" quotePrefix="0" xfId="0"/>
    <xf numFmtId="0" fontId="0" fillId="0" borderId="32" pivotButton="0" quotePrefix="0" xfId="0"/>
    <xf numFmtId="168" fontId="29" fillId="33" borderId="0" applyAlignment="1" applyProtection="1" pivotButton="0" quotePrefix="0" xfId="0">
      <alignment horizontal="right" vertical="top"/>
      <protection locked="0" hidden="0"/>
    </xf>
    <xf numFmtId="168" fontId="5" fillId="35" borderId="0" applyAlignment="1" pivotButton="0" quotePrefix="0" xfId="0">
      <alignment horizontal="right" vertical="top"/>
    </xf>
    <xf numFmtId="167" fontId="5" fillId="33" borderId="0" applyAlignment="1" applyProtection="1" pivotButton="0" quotePrefix="0" xfId="0">
      <alignment horizontal="center" vertical="top"/>
      <protection locked="0" hidden="0"/>
    </xf>
    <xf numFmtId="164" fontId="5" fillId="35" borderId="0" applyAlignment="1" pivotButton="0" quotePrefix="0" xfId="0">
      <alignment horizontal="right" vertical="top" indent="1"/>
    </xf>
    <xf numFmtId="166" fontId="5" fillId="33" borderId="0" applyAlignment="1" pivotButton="0" quotePrefix="0" xfId="0">
      <alignment horizontal="left" vertical="top" indent="1"/>
    </xf>
    <xf numFmtId="168" fontId="5" fillId="0" borderId="0" applyAlignment="1" pivotButton="0" quotePrefix="0" xfId="0">
      <alignment horizontal="right" vertical="top"/>
    </xf>
    <xf numFmtId="167" fontId="5" fillId="0" borderId="0" applyAlignment="1" applyProtection="1" pivotButton="0" quotePrefix="0" xfId="0">
      <alignment horizontal="center" vertical="top"/>
      <protection locked="0" hidden="0"/>
    </xf>
    <xf numFmtId="164" fontId="5" fillId="0" borderId="0" applyAlignment="1" pivotButton="0" quotePrefix="0" xfId="0">
      <alignment horizontal="right" vertical="top" indent="1"/>
    </xf>
    <xf numFmtId="4" fontId="28" fillId="0" borderId="0" applyAlignment="1" applyProtection="1" pivotButton="0" quotePrefix="0" xfId="0">
      <alignment horizontal="right" vertical="top"/>
      <protection locked="0" hidden="0"/>
    </xf>
    <xf numFmtId="0" fontId="0" fillId="0" borderId="0" applyProtection="1" pivotButton="0" quotePrefix="0" xfId="0">
      <protection locked="0" hidden="0"/>
    </xf>
    <xf numFmtId="167" fontId="5" fillId="35" borderId="0" applyAlignment="1" applyProtection="1" pivotButton="0" quotePrefix="0" xfId="0">
      <alignment horizontal="right" vertical="top"/>
      <protection locked="0" hidden="0"/>
    </xf>
    <xf numFmtId="168" fontId="6" fillId="0" borderId="0" applyAlignment="1" applyProtection="1" pivotButton="0" quotePrefix="0" xfId="0">
      <alignment horizontal="right" vertical="top"/>
      <protection locked="0" hidden="0"/>
    </xf>
    <xf numFmtId="167" fontId="6" fillId="0" borderId="0" applyAlignment="1" applyProtection="1" pivotButton="0" quotePrefix="0" xfId="0">
      <alignment horizontal="right" vertical="top"/>
      <protection locked="0" hidden="0"/>
    </xf>
    <xf numFmtId="168" fontId="6" fillId="0" borderId="0" applyAlignment="1" applyProtection="1" pivotButton="0" quotePrefix="0" xfId="0">
      <alignment horizontal="right" vertical="center"/>
      <protection locked="0" hidden="0"/>
    </xf>
    <xf numFmtId="166" fontId="6" fillId="0" borderId="0" applyAlignment="1" applyProtection="1" pivotButton="0" quotePrefix="0" xfId="0">
      <alignment horizontal="right" vertical="center"/>
      <protection locked="0" hidden="0"/>
    </xf>
    <xf numFmtId="166" fontId="6" fillId="0" borderId="0" applyAlignment="1" pivotButton="0" quotePrefix="0" xfId="0">
      <alignment horizontal="right" vertical="center"/>
    </xf>
    <xf numFmtId="164" fontId="6" fillId="0" borderId="0" applyAlignment="1" pivotButton="0" quotePrefix="0" xfId="0">
      <alignment horizontal="right" vertical="center"/>
    </xf>
    <xf numFmtId="166" fontId="6" fillId="0" borderId="0" applyAlignment="1" pivotButton="0" quotePrefix="0" xfId="0">
      <alignment horizontal="right" vertical="top"/>
    </xf>
    <xf numFmtId="164" fontId="6" fillId="0" borderId="0" applyAlignment="1" pivotButton="0" quotePrefix="0" xfId="0">
      <alignment horizontal="right" vertical="top"/>
    </xf>
    <xf numFmtId="166" fontId="5" fillId="0" borderId="0" applyAlignment="1" pivotButton="0" quotePrefix="0" xfId="0">
      <alignment horizontal="right" vertical="top"/>
    </xf>
    <xf numFmtId="166" fontId="8" fillId="0" borderId="0" applyAlignment="1" pivotButton="0" quotePrefix="0" xfId="0">
      <alignment horizontal="right" vertical="top"/>
    </xf>
    <xf numFmtId="164" fontId="7" fillId="0" borderId="0" applyAlignment="1" pivotButton="0" quotePrefix="0" xfId="0">
      <alignment horizontal="right" vertical="top"/>
    </xf>
    <xf numFmtId="168" fontId="5" fillId="33" borderId="17" applyAlignment="1" pivotButton="0" quotePrefix="0" xfId="0">
      <alignment horizontal="right" vertical="top"/>
    </xf>
    <xf numFmtId="166" fontId="5" fillId="33" borderId="17" applyAlignment="1" pivotButton="0" quotePrefix="0" xfId="0">
      <alignment horizontal="center" vertical="top"/>
    </xf>
    <xf numFmtId="166" fontId="5" fillId="33" borderId="17" applyAlignment="1" pivotButton="0" quotePrefix="0" xfId="0">
      <alignment horizontal="right" vertical="top"/>
    </xf>
    <xf numFmtId="164" fontId="5" fillId="33" borderId="19" applyAlignment="1" pivotButton="0" quotePrefix="0" xfId="0">
      <alignment horizontal="right" vertical="top"/>
    </xf>
    <xf numFmtId="168" fontId="6" fillId="0" borderId="21" applyAlignment="1" applyProtection="1" pivotButton="0" quotePrefix="0" xfId="0">
      <alignment horizontal="right" vertical="top"/>
      <protection locked="0" hidden="0"/>
    </xf>
    <xf numFmtId="166" fontId="6" fillId="0" borderId="21" applyAlignment="1" pivotButton="0" quotePrefix="0" xfId="0">
      <alignment horizontal="right" vertical="top"/>
    </xf>
    <xf numFmtId="164" fontId="6" fillId="0" borderId="23" applyAlignment="1" pivotButton="0" quotePrefix="0" xfId="0">
      <alignment horizontal="right" vertical="top"/>
    </xf>
    <xf numFmtId="168" fontId="6" fillId="0" borderId="25" applyAlignment="1" applyProtection="1" pivotButton="0" quotePrefix="0" xfId="0">
      <alignment horizontal="right" vertical="top"/>
      <protection locked="0" hidden="0"/>
    </xf>
    <xf numFmtId="166" fontId="6" fillId="0" borderId="25" applyAlignment="1" pivotButton="0" quotePrefix="0" xfId="0">
      <alignment horizontal="right" vertical="top"/>
    </xf>
    <xf numFmtId="164" fontId="6" fillId="0" borderId="27" applyAlignment="1" pivotButton="0" quotePrefix="0" xfId="0">
      <alignment horizontal="right" vertical="top"/>
    </xf>
    <xf numFmtId="168" fontId="5" fillId="33" borderId="11" applyAlignment="1" applyProtection="1" pivotButton="0" quotePrefix="0" xfId="0">
      <alignment horizontal="right" vertical="top"/>
      <protection locked="0" hidden="0"/>
    </xf>
    <xf numFmtId="166" fontId="5" fillId="33" borderId="11" applyAlignment="1" applyProtection="1" pivotButton="0" quotePrefix="0" xfId="0">
      <alignment horizontal="right" vertical="top" wrapText="1"/>
      <protection locked="0" hidden="0"/>
    </xf>
    <xf numFmtId="166" fontId="5" fillId="33" borderId="11" applyAlignment="1" pivotButton="0" quotePrefix="0" xfId="0">
      <alignment horizontal="right" vertical="top"/>
    </xf>
    <xf numFmtId="168" fontId="5" fillId="0" borderId="0" applyAlignment="1" applyProtection="1" pivotButton="0" quotePrefix="0" xfId="0">
      <alignment horizontal="right" vertical="top"/>
      <protection locked="0" hidden="0"/>
    </xf>
    <xf numFmtId="166" fontId="5" fillId="0" borderId="0" applyAlignment="1" applyProtection="1" pivotButton="0" quotePrefix="0" xfId="0">
      <alignment horizontal="right" vertical="top" wrapText="1"/>
      <protection locked="0" hidden="0"/>
    </xf>
  </cellXfs>
  <cellStyles count="48">
    <cellStyle name="Normal" xfId="0" builtinId="0"/>
    <cellStyle name="20 % - Accent1" xfId="1"/>
    <cellStyle name="20 % - Accent2" xfId="2"/>
    <cellStyle name="20 % - Accent3" xfId="3"/>
    <cellStyle name="20 % - Accent4" xfId="4"/>
    <cellStyle name="20 % - Accent5" xfId="5"/>
    <cellStyle name="20 % - Accent6" xfId="6"/>
    <cellStyle name="40 % - Accent1" xfId="7"/>
    <cellStyle name="40 % - Accent2" xfId="8"/>
    <cellStyle name="40 % - Accent3" xfId="9"/>
    <cellStyle name="40 % - Accent4" xfId="10"/>
    <cellStyle name="40 % - Accent5" xfId="11"/>
    <cellStyle name="40 % - Accent6" xfId="12"/>
    <cellStyle name="60 % - Accent1" xfId="13"/>
    <cellStyle name="60 % - Accent2" xfId="14"/>
    <cellStyle name="60 % - Accent3" xfId="15"/>
    <cellStyle name="60 % - Accent4" xfId="16"/>
    <cellStyle name="60 % - Accent5" xfId="17"/>
    <cellStyle name="60 % - Accent6" xfId="18"/>
    <cellStyle name="Accent1" xfId="19"/>
    <cellStyle name="Accent2" xfId="20"/>
    <cellStyle name="Accent3" xfId="21"/>
    <cellStyle name="Accent4" xfId="22"/>
    <cellStyle name="Accent5" xfId="23"/>
    <cellStyle name="Accent6" xfId="24"/>
    <cellStyle name="Avertissement" xfId="25"/>
    <cellStyle name="Calcul" xfId="26"/>
    <cellStyle name="Cellule liée" xfId="27"/>
    <cellStyle name="Entrée" xfId="28"/>
    <cellStyle name="Insatisfaisant" xfId="29"/>
    <cellStyle name="Comma" xfId="30"/>
    <cellStyle name="Comma [0]" xfId="31"/>
    <cellStyle name="Currency" xfId="32"/>
    <cellStyle name="Currency [0]" xfId="33"/>
    <cellStyle name="Neutre" xfId="34"/>
    <cellStyle name="Note" xfId="35"/>
    <cellStyle name="Percent" xfId="36"/>
    <cellStyle name="Satisfaisant" xfId="37"/>
    <cellStyle name="Sortie" xfId="38"/>
    <cellStyle name="Standaard 2" xfId="39"/>
    <cellStyle name="Texte explicatif" xfId="40"/>
    <cellStyle name="Titre" xfId="41"/>
    <cellStyle name="Titre 1" xfId="42"/>
    <cellStyle name="Titre 2" xfId="43"/>
    <cellStyle name="Titre 3" xfId="44"/>
    <cellStyle name="Titre 4" xfId="45"/>
    <cellStyle name="Total" xfId="46"/>
    <cellStyle name="Vérification" xfId="47"/>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Blad1">
    <outlinePr summaryBelow="1" summaryRight="1"/>
    <pageSetUpPr/>
  </sheetPr>
  <dimension ref="A1:D39"/>
  <sheetViews>
    <sheetView topLeftCell="A26" workbookViewId="0">
      <selection activeCell="A40" sqref="A40"/>
    </sheetView>
  </sheetViews>
  <sheetFormatPr baseColWidth="10" defaultColWidth="9.109375" defaultRowHeight="12.6"/>
  <cols>
    <col width="14.6640625" customWidth="1" style="181" min="1" max="1"/>
    <col width="18.88671875" customWidth="1" style="181" min="2" max="2"/>
    <col width="27" customWidth="1" style="181" min="3" max="3"/>
    <col width="27.6640625" customWidth="1" style="181" min="4" max="4"/>
    <col width="9.109375" customWidth="1" style="181" min="5" max="5"/>
    <col width="9.109375" customWidth="1" style="181" min="6" max="16384"/>
  </cols>
  <sheetData>
    <row r="1" ht="19.8" customHeight="1">
      <c r="A1" s="20" t="n"/>
      <c r="B1" s="21" t="n"/>
      <c r="C1" s="23" t="inlineStr">
        <is>
          <t>OFFRE</t>
        </is>
      </c>
      <c r="D1" s="22" t="n"/>
    </row>
    <row r="2" ht="3.75" customHeight="1"/>
    <row r="3" ht="3.75" customHeight="1"/>
    <row r="4" ht="3.75" customHeight="1"/>
    <row r="5" ht="3.75" customHeight="1"/>
    <row r="6" ht="3.75" customHeight="1">
      <c r="A6" s="4" t="n"/>
      <c r="C6" s="2" t="n"/>
      <c r="D6" s="15" t="n"/>
    </row>
    <row r="7" ht="3.75" customHeight="1">
      <c r="A7" s="2" t="n"/>
      <c r="B7" s="2" t="n"/>
      <c r="C7" s="2" t="n"/>
      <c r="D7" s="16" t="n"/>
    </row>
    <row r="8" ht="89.25" customHeight="1">
      <c r="A8" s="180" t="inlineStr">
        <is>
          <t>Marché</t>
        </is>
      </c>
      <c r="C8" s="178" t="inlineStr">
        <is>
          <t>Signalétique promotionnelle et scénographique éco-responsable _Marché conjoint Ville de Mons et CPAS de Mons - Lot 2 (Signalétique intérieure)</t>
        </is>
      </c>
    </row>
    <row r="9" ht="25.5" customHeight="1">
      <c r="A9" s="180" t="inlineStr">
        <is>
          <t>Référence</t>
        </is>
      </c>
      <c r="C9" s="178" t="inlineStr">
        <is>
          <t>BO.F.2026/Signalétique int &amp; ext/GC</t>
        </is>
      </c>
    </row>
    <row r="10" ht="25.5" customHeight="1">
      <c r="A10" s="173" t="inlineStr">
        <is>
          <t>Lieu</t>
        </is>
      </c>
      <c r="C10" s="175" t="inlineStr">
        <is>
          <t>Ville de Mons - Grand Place, 22</t>
        </is>
      </c>
    </row>
    <row r="11" ht="25.5" customHeight="1">
      <c r="A11" s="173" t="inlineStr">
        <is>
          <t>Pouvoir adjudicateur</t>
        </is>
      </c>
      <c r="C11" s="175" t="inlineStr">
        <is>
          <t>Ville de Mons</t>
        </is>
      </c>
    </row>
    <row r="12" ht="25.5" customHeight="1">
      <c r="A12" s="173" t="inlineStr">
        <is>
          <t>Bureau d'études</t>
        </is>
      </c>
      <c r="C12" s="175" t="inlineStr">
        <is>
          <t>Service Communication</t>
        </is>
      </c>
    </row>
    <row r="13" ht="25.5" customHeight="1">
      <c r="A13" s="177" t="inlineStr">
        <is>
          <t>Auteur de projet</t>
        </is>
      </c>
      <c r="C13" s="175" t="inlineStr">
        <is>
          <t>Emilie VILAIN</t>
        </is>
      </c>
    </row>
    <row r="14" ht="5.25" customHeight="1">
      <c r="A14" s="2" t="n"/>
      <c r="B14" s="2" t="n"/>
      <c r="C14" s="2" t="n"/>
      <c r="D14" s="2" t="n"/>
    </row>
    <row r="15" ht="5.25" customHeight="1">
      <c r="A15" s="2" t="n"/>
      <c r="B15" s="2" t="n"/>
      <c r="C15" s="2" t="n"/>
      <c r="D15" s="2" t="n"/>
    </row>
    <row r="16" ht="25.5" customHeight="1">
      <c r="A16" s="39" t="inlineStr">
        <is>
          <t>Total des postes</t>
        </is>
      </c>
      <c r="B16" s="25" t="n"/>
      <c r="C16" s="182" t="n"/>
      <c r="D16" s="183" t="n"/>
    </row>
    <row r="17" ht="25.5" customHeight="1">
      <c r="A17" s="25" t="n"/>
      <c r="B17" s="29" t="inlineStr">
        <is>
          <t>Hors TVA</t>
        </is>
      </c>
      <c r="C17" s="184">
        <f>Postes!M167</f>
        <v/>
      </c>
      <c r="D17" s="183" t="n"/>
    </row>
    <row r="18" ht="25.5" customHeight="1">
      <c r="A18" s="25" t="n"/>
      <c r="B18" s="29" t="inlineStr">
        <is>
          <t>TVA</t>
        </is>
      </c>
      <c r="C18" s="185">
        <f>C19-C17</f>
        <v/>
      </c>
      <c r="D18" s="183" t="n"/>
    </row>
    <row r="19" ht="25.5" customHeight="1">
      <c r="A19" s="25" t="n"/>
      <c r="B19" s="29" t="inlineStr">
        <is>
          <t>TVA comprise</t>
        </is>
      </c>
      <c r="C19" s="186">
        <f>Postes!M169</f>
        <v/>
      </c>
      <c r="D19" s="183" t="n"/>
    </row>
    <row r="20">
      <c r="A20" s="33" t="n"/>
      <c r="B20" s="34" t="n"/>
      <c r="C20" s="187" t="n"/>
      <c r="D20" s="183" t="n"/>
    </row>
    <row r="21" hidden="1">
      <c r="A21" s="39" t="inlineStr">
        <is>
          <t>Total des omissions</t>
        </is>
      </c>
      <c r="B21" s="29" t="n"/>
      <c r="C21" s="188" t="n"/>
      <c r="D21" s="183" t="n"/>
    </row>
    <row r="22" hidden="1">
      <c r="A22" s="25" t="n"/>
      <c r="B22" s="29" t="inlineStr">
        <is>
          <t>HTVA</t>
        </is>
      </c>
      <c r="C22" s="184">
        <f>Omissions!E14</f>
        <v/>
      </c>
      <c r="D22" s="183" t="n"/>
    </row>
    <row r="23" hidden="1">
      <c r="A23" s="25" t="n"/>
      <c r="B23" s="29" t="inlineStr">
        <is>
          <t>TVA</t>
        </is>
      </c>
      <c r="C23" s="185">
        <f>Omissions!E15</f>
        <v/>
      </c>
      <c r="D23" s="183" t="n"/>
    </row>
    <row r="24" hidden="1">
      <c r="A24" s="25" t="n"/>
      <c r="B24" s="29" t="inlineStr">
        <is>
          <t>TVA comprise</t>
        </is>
      </c>
      <c r="C24" s="186">
        <f>C22+C23</f>
        <v/>
      </c>
      <c r="D24" s="183" t="n"/>
    </row>
    <row r="25" hidden="1">
      <c r="A25" s="33" t="n"/>
      <c r="B25" s="34" t="n"/>
      <c r="C25" s="187" t="n"/>
      <c r="D25" s="183" t="n"/>
    </row>
    <row r="26" ht="26.25" customHeight="1">
      <c r="A26" s="39" t="inlineStr">
        <is>
          <t>Total de l'Offre</t>
        </is>
      </c>
      <c r="B26" s="29" t="n"/>
      <c r="C26" s="188" t="n"/>
      <c r="D26" s="183" t="n"/>
    </row>
    <row r="27" ht="26.25" customHeight="1">
      <c r="A27" s="25" t="n"/>
      <c r="B27" s="29" t="inlineStr">
        <is>
          <t>HTVA</t>
        </is>
      </c>
      <c r="C27" s="184">
        <f>C17+C22</f>
        <v/>
      </c>
      <c r="D27" s="183" t="n"/>
    </row>
    <row r="28" ht="26.25" customHeight="1">
      <c r="A28" s="25" t="n"/>
      <c r="B28" s="29" t="inlineStr">
        <is>
          <t>TVA</t>
        </is>
      </c>
      <c r="C28" s="185">
        <f>C18+C23</f>
        <v/>
      </c>
      <c r="D28" s="183" t="n"/>
    </row>
    <row r="29" ht="26.25" customHeight="1">
      <c r="A29" s="25" t="n"/>
      <c r="B29" s="37" t="inlineStr">
        <is>
          <t>TVA comprise</t>
        </is>
      </c>
      <c r="C29" s="189">
        <f>C19+C24</f>
        <v/>
      </c>
      <c r="D29" s="183" t="n"/>
    </row>
    <row r="30" ht="6" customHeight="1">
      <c r="A30" s="2" t="n"/>
      <c r="B30" s="2" t="n"/>
      <c r="C30" s="2" t="n"/>
      <c r="D30" s="2" t="n"/>
    </row>
    <row r="31" ht="6" customHeight="1">
      <c r="A31" s="2" t="n"/>
      <c r="B31" s="2" t="n"/>
      <c r="C31" s="2" t="n"/>
      <c r="D31" s="2" t="n"/>
    </row>
    <row r="32" ht="6" customHeight="1">
      <c r="A32" s="2" t="n"/>
      <c r="B32" s="2" t="n"/>
      <c r="C32" s="2" t="n"/>
      <c r="D32" s="2" t="n"/>
    </row>
    <row r="33" ht="6" customHeight="1">
      <c r="A33" s="2" t="n"/>
      <c r="B33" s="2" t="n"/>
      <c r="C33" s="2" t="n"/>
      <c r="D33" s="2" t="n"/>
    </row>
    <row r="34" ht="6" customHeight="1">
      <c r="A34" s="2" t="n"/>
      <c r="B34" s="2" t="n"/>
      <c r="C34" s="2" t="n"/>
      <c r="D34" s="2" t="n"/>
    </row>
    <row r="35">
      <c r="A35" s="24" t="inlineStr">
        <is>
          <t>Lu et approuvé,</t>
        </is>
      </c>
    </row>
    <row r="37" ht="24.75" customHeight="1">
      <c r="A37" s="173" t="inlineStr">
        <is>
          <t>Date</t>
        </is>
      </c>
      <c r="C37" s="58" t="inlineStr">
        <is>
          <t>[DATE DE DÉPÔT À COMPLÉTER]</t>
        </is>
      </c>
      <c r="D37" s="173" t="n"/>
    </row>
    <row r="38">
      <c r="A38" s="181" t="inlineStr">
        <is>
          <t>Nom firme</t>
        </is>
      </c>
      <c r="C38" s="59" t="inlineStr">
        <is>
          <t>BUNKER Gallery</t>
        </is>
      </c>
    </row>
    <row r="39">
      <c r="A39" s="181" t="inlineStr">
        <is>
          <t>Adresse firme</t>
        </is>
      </c>
      <c r="C39" s="59" t="inlineStr">
        <is>
          <t>[ADRESSE COMPLÈTE À COMPLÉTER], Kester</t>
        </is>
      </c>
    </row>
  </sheetData>
  <sheetProtection selectLockedCells="0" selectUnlockedCells="0" sheet="1" objects="0" insertRows="1" insertHyperlinks="1" autoFilter="1" scenarios="0" formatColumns="0" deleteColumns="1" insertColumns="1" pivotTables="1" deleteRows="1" formatCells="0" formatRows="0" sort="1"/>
  <mergeCells count="15">
    <mergeCell ref="C12:D12"/>
    <mergeCell ref="A38:B38"/>
    <mergeCell ref="C10:D10"/>
    <mergeCell ref="C11:D11"/>
    <mergeCell ref="A11:B11"/>
    <mergeCell ref="A10:B10"/>
    <mergeCell ref="A37:B37"/>
    <mergeCell ref="A13:B13"/>
    <mergeCell ref="C13:D13"/>
    <mergeCell ref="A39:B39"/>
    <mergeCell ref="C9:D9"/>
    <mergeCell ref="A9:B9"/>
    <mergeCell ref="A8:B8"/>
    <mergeCell ref="C8:D8"/>
    <mergeCell ref="A12:B12"/>
  </mergeCells>
  <pageMargins left="0.75" right="0.75" top="1" bottom="1" header="0.5" footer="0.5"/>
  <pageSetup orientation="portrait" paperSize="9" horizontalDpi="1200" verticalDpi="1200"/>
</worksheet>
</file>

<file path=xl/worksheets/sheet2.xml><?xml version="1.0" encoding="utf-8"?>
<worksheet xmlns="http://schemas.openxmlformats.org/spreadsheetml/2006/main">
  <sheetPr codeName="Blad2">
    <outlinePr summaryBelow="1" summaryRight="1"/>
    <pageSetUpPr/>
  </sheetPr>
  <dimension ref="A1:R188"/>
  <sheetViews>
    <sheetView tabSelected="1" workbookViewId="0">
      <pane ySplit="3" topLeftCell="A4" activePane="bottomLeft" state="frozen"/>
      <selection pane="bottomLeft" activeCell="Q21" sqref="Q21"/>
    </sheetView>
  </sheetViews>
  <sheetFormatPr baseColWidth="10" defaultColWidth="9.109375" defaultRowHeight="10.2"/>
  <cols>
    <col width="7.109375" customWidth="1" style="5" min="1" max="1"/>
    <col hidden="1" width="11.6640625" customWidth="1" style="60" min="2" max="2"/>
    <col hidden="1" width="3.6640625" customWidth="1" style="60" min="3" max="3"/>
    <col width="30.6640625" customWidth="1" style="51" min="4" max="4"/>
    <col width="4.6640625" customWidth="1" style="5" min="5" max="5"/>
    <col width="4.44140625" customWidth="1" style="5" min="6" max="6"/>
    <col width="3.33203125" customWidth="1" style="5" min="7" max="7"/>
    <col hidden="1" width="4.6640625" customWidth="1" style="14" min="8" max="9"/>
    <col hidden="1" width="7.6640625" customWidth="1" style="5" min="10" max="10"/>
    <col width="12.6640625" customWidth="1" style="190" min="11" max="11"/>
    <col hidden="1" width="28.6640625" customWidth="1" style="143" min="12" max="12"/>
    <col width="16.6640625" customWidth="1" style="191" min="13" max="13"/>
    <col width="7.44140625" customWidth="1" style="192" min="14" max="14"/>
    <col width="9.109375" customWidth="1" style="193" min="15" max="15"/>
    <col width="16.6640625" customWidth="1" style="5" min="16" max="16"/>
    <col hidden="1" width="18" customWidth="1" style="5" min="17" max="17"/>
    <col width="14.6640625" customWidth="1" style="143" min="18" max="18"/>
    <col width="9.109375" customWidth="1" style="5" min="19" max="19"/>
    <col width="9.109375" customWidth="1" style="5" min="20" max="16384"/>
  </cols>
  <sheetData>
    <row r="1" hidden="1">
      <c r="A1" s="8" t="n"/>
      <c r="B1" s="7" t="n"/>
      <c r="C1" s="7" t="n"/>
      <c r="D1" s="49" t="n"/>
      <c r="E1" s="9" t="n"/>
      <c r="F1" s="9" t="n"/>
      <c r="G1" s="9" t="n"/>
      <c r="H1" s="10" t="n"/>
      <c r="I1" s="10" t="n"/>
      <c r="J1" s="9" t="n"/>
      <c r="K1" s="194" t="n"/>
      <c r="L1" s="74" t="n"/>
      <c r="M1" s="195" t="n"/>
      <c r="N1" s="196" t="n"/>
      <c r="O1" s="197" t="n"/>
    </row>
    <row r="2" hidden="1" customFormat="1" s="6">
      <c r="A2" s="8" t="n"/>
      <c r="B2" s="7" t="n"/>
      <c r="C2" s="7" t="n"/>
      <c r="D2" s="50" t="n"/>
      <c r="E2" s="8" t="n"/>
      <c r="F2" s="8" t="n"/>
      <c r="G2" s="8" t="n"/>
      <c r="H2" s="11" t="n"/>
      <c r="I2" s="11" t="n"/>
      <c r="J2" s="8" t="n"/>
      <c r="K2" s="198" t="n"/>
      <c r="L2" s="75" t="n"/>
      <c r="M2" s="199" t="n"/>
      <c r="N2" s="200" t="n"/>
      <c r="O2" s="201" t="n"/>
      <c r="R2" s="70" t="n"/>
    </row>
    <row r="3" ht="40.05" customHeight="1">
      <c r="A3" s="202" t="inlineStr">
        <is>
          <t>Inventaire
  “Signalétique promotionnelle et scénographique éco-responsable _Marché conjoint Ville de Mons et CPAS de Mons - Lot 2 (Signalétique intérieure)”</t>
        </is>
      </c>
      <c r="B3" s="203" t="n"/>
      <c r="C3" s="203" t="n"/>
      <c r="D3" s="203" t="n"/>
      <c r="E3" s="203" t="n"/>
      <c r="F3" s="203" t="n"/>
      <c r="G3" s="203" t="n"/>
      <c r="H3" s="203" t="n"/>
      <c r="I3" s="203" t="n"/>
      <c r="J3" s="203" t="n"/>
      <c r="K3" s="203" t="n"/>
      <c r="L3" s="203" t="n"/>
      <c r="M3" s="203" t="n"/>
      <c r="N3" s="203" t="n"/>
      <c r="O3" s="203" t="n"/>
      <c r="P3" s="203" t="n"/>
      <c r="Q3" s="203" t="n"/>
      <c r="R3" s="204" t="n"/>
    </row>
    <row r="4" customFormat="1" s="6">
      <c r="A4" s="91" t="inlineStr">
        <is>
          <t>N°</t>
        </is>
      </c>
      <c r="B4" s="92" t="inlineStr">
        <is>
          <t>Référence</t>
        </is>
      </c>
      <c r="C4" s="92" t="n"/>
      <c r="D4" s="93" t="inlineStr">
        <is>
          <t>Description</t>
        </is>
      </c>
      <c r="E4" s="91" t="inlineStr">
        <is>
          <t>Type</t>
        </is>
      </c>
      <c r="F4" s="91" t="inlineStr">
        <is>
          <t>U</t>
        </is>
      </c>
      <c r="G4" s="94" t="inlineStr">
        <is>
          <t>Q</t>
        </is>
      </c>
      <c r="H4" s="95" t="inlineStr">
        <is>
          <t xml:space="preserve"> +</t>
        </is>
      </c>
      <c r="I4" s="95" t="inlineStr">
        <is>
          <t xml:space="preserve"> -</t>
        </is>
      </c>
      <c r="J4" s="91" t="inlineStr">
        <is>
          <t>Adapté</t>
        </is>
      </c>
      <c r="K4" s="205" t="inlineStr">
        <is>
          <t>PU HTVA</t>
        </is>
      </c>
      <c r="L4" s="97" t="inlineStr">
        <is>
          <t>PU en lettres</t>
        </is>
      </c>
      <c r="M4" s="206" t="inlineStr">
        <is>
          <t>Total</t>
        </is>
      </c>
      <c r="N4" s="207" t="inlineStr">
        <is>
          <t>TVA %</t>
        </is>
      </c>
      <c r="O4" s="208" t="inlineStr">
        <is>
          <t>TVA</t>
        </is>
      </c>
      <c r="P4" s="209" t="inlineStr">
        <is>
          <t>Remarques</t>
        </is>
      </c>
      <c r="Q4" s="100" t="inlineStr">
        <is>
          <t>Subcontract?</t>
        </is>
      </c>
      <c r="R4" s="101" t="inlineStr">
        <is>
          <t>Délai</t>
        </is>
      </c>
    </row>
    <row r="5" ht="30.6" customFormat="1" customHeight="1" s="71">
      <c r="A5" s="8" t="n"/>
      <c r="B5" s="76" t="inlineStr"/>
      <c r="C5" s="76" t="inlineStr"/>
      <c r="D5" s="77" t="inlineStr">
        <is>
          <t>Impression quadrichromie sur toile 100% polyester - 300g/m² - white - M1 à coller sur mur (intérieur)</t>
        </is>
      </c>
      <c r="E5" s="8" t="inlineStr"/>
      <c r="F5" s="8" t="n"/>
      <c r="G5" s="8" t="n"/>
      <c r="H5" s="11" t="n"/>
      <c r="I5" s="11" t="n"/>
      <c r="J5" s="8" t="n"/>
      <c r="K5" s="198" t="n"/>
      <c r="L5" s="78" t="n"/>
      <c r="M5" s="210" t="n"/>
      <c r="N5" s="211" t="n"/>
      <c r="O5" s="212" t="n"/>
      <c r="P5" s="11" t="n"/>
      <c r="Q5" s="8" t="n"/>
      <c r="R5" s="102" t="n"/>
    </row>
    <row r="6">
      <c r="A6" s="9" t="n">
        <v>1</v>
      </c>
      <c r="B6" s="82" t="inlineStr"/>
      <c r="C6" s="82" t="inlineStr"/>
      <c r="D6" s="83" t="inlineStr">
        <is>
          <t>&gt;= A2 et &lt;= 1 m²</t>
        </is>
      </c>
      <c r="E6" s="9" t="inlineStr">
        <is>
          <t>QP</t>
        </is>
      </c>
      <c r="F6" s="9" t="inlineStr">
        <is>
          <t>m²</t>
        </is>
      </c>
      <c r="G6" s="9" t="n">
        <v>5</v>
      </c>
      <c r="H6" s="10" t="n"/>
      <c r="I6" s="10" t="n"/>
      <c r="J6" s="9">
        <f>G6-I6+H6</f>
        <v/>
      </c>
      <c r="K6" s="213" t="n">
        <v>48</v>
      </c>
      <c r="L6" s="84" t="inlineStr">
        <is>
          <t>quarante-huit euros</t>
        </is>
      </c>
      <c r="M6" s="195">
        <f>ROUND(G6*ROUND(K6,2),2)</f>
        <v/>
      </c>
      <c r="N6" s="196" t="n">
        <v>0.21</v>
      </c>
      <c r="O6" s="197">
        <f>ROUND(N6*ROUND(M6,2),2)</f>
        <v/>
      </c>
      <c r="P6" s="10" t="n"/>
      <c r="Q6" s="9" t="inlineStr">
        <is>
          <t>Non</t>
        </is>
      </c>
      <c r="R6" s="103" t="n">
        <v>6</v>
      </c>
    </row>
    <row r="7">
      <c r="A7" s="9" t="n">
        <v>2</v>
      </c>
      <c r="B7" s="82" t="inlineStr"/>
      <c r="C7" s="82" t="inlineStr"/>
      <c r="D7" s="83" t="inlineStr">
        <is>
          <t>&gt; 1 m² et &lt;= 2 m²</t>
        </is>
      </c>
      <c r="E7" s="9" t="inlineStr">
        <is>
          <t>QP</t>
        </is>
      </c>
      <c r="F7" s="9" t="inlineStr">
        <is>
          <t>m²</t>
        </is>
      </c>
      <c r="G7" s="9" t="n">
        <v>5</v>
      </c>
      <c r="H7" s="10" t="n"/>
      <c r="I7" s="10" t="n"/>
      <c r="J7" s="9">
        <f>G7-I7+H7</f>
        <v/>
      </c>
      <c r="K7" s="213" t="n">
        <v>42</v>
      </c>
      <c r="L7" s="84" t="inlineStr">
        <is>
          <t>quarante-deux euros</t>
        </is>
      </c>
      <c r="M7" s="195">
        <f>ROUND(G7*ROUND(K7,2),2)</f>
        <v/>
      </c>
      <c r="N7" s="196" t="n">
        <v>0.21</v>
      </c>
      <c r="O7" s="197">
        <f>ROUND(N7*ROUND(M7,2),2)</f>
        <v/>
      </c>
      <c r="P7" s="10" t="n"/>
      <c r="Q7" s="9" t="inlineStr">
        <is>
          <t>Non</t>
        </is>
      </c>
      <c r="R7" s="103" t="n">
        <v>6</v>
      </c>
    </row>
    <row r="8">
      <c r="A8" s="9" t="n">
        <v>3</v>
      </c>
      <c r="B8" s="82" t="inlineStr"/>
      <c r="C8" s="82" t="inlineStr"/>
      <c r="D8" s="83" t="inlineStr">
        <is>
          <t>&gt; 2 m² et &lt;= 5 m²</t>
        </is>
      </c>
      <c r="E8" s="9" t="inlineStr">
        <is>
          <t>QP</t>
        </is>
      </c>
      <c r="F8" s="9" t="inlineStr">
        <is>
          <t>m²</t>
        </is>
      </c>
      <c r="G8" s="9" t="n">
        <v>5</v>
      </c>
      <c r="H8" s="10" t="n"/>
      <c r="I8" s="10" t="n"/>
      <c r="J8" s="9">
        <f>G8-I8+H8</f>
        <v/>
      </c>
      <c r="K8" s="213" t="n">
        <v>38</v>
      </c>
      <c r="L8" s="84" t="inlineStr">
        <is>
          <t>trente-huit euros</t>
        </is>
      </c>
      <c r="M8" s="195">
        <f>ROUND(G8*ROUND(K8,2),2)</f>
        <v/>
      </c>
      <c r="N8" s="196" t="n">
        <v>0.21</v>
      </c>
      <c r="O8" s="197">
        <f>ROUND(N8*ROUND(M8,2),2)</f>
        <v/>
      </c>
      <c r="P8" s="10" t="n"/>
      <c r="Q8" s="9" t="inlineStr">
        <is>
          <t>Non</t>
        </is>
      </c>
      <c r="R8" s="103" t="n">
        <v>6</v>
      </c>
    </row>
    <row r="9">
      <c r="A9" s="9" t="n">
        <v>4</v>
      </c>
      <c r="B9" s="82" t="inlineStr"/>
      <c r="C9" s="82" t="inlineStr"/>
      <c r="D9" s="83" t="inlineStr">
        <is>
          <t>&gt; 5 m² et &lt;= 10 m²</t>
        </is>
      </c>
      <c r="E9" s="9" t="inlineStr">
        <is>
          <t>QP</t>
        </is>
      </c>
      <c r="F9" s="9" t="inlineStr">
        <is>
          <t>m²</t>
        </is>
      </c>
      <c r="G9" s="9" t="n">
        <v>5</v>
      </c>
      <c r="H9" s="10" t="n"/>
      <c r="I9" s="10" t="n"/>
      <c r="J9" s="9">
        <f>G9-I9+H9</f>
        <v/>
      </c>
      <c r="K9" s="213" t="n">
        <v>34</v>
      </c>
      <c r="L9" s="84" t="inlineStr">
        <is>
          <t>trente-quatre euros</t>
        </is>
      </c>
      <c r="M9" s="195">
        <f>ROUND(G9*ROUND(K9,2),2)</f>
        <v/>
      </c>
      <c r="N9" s="196" t="n">
        <v>0.21</v>
      </c>
      <c r="O9" s="197">
        <f>ROUND(N9*ROUND(M9,2),2)</f>
        <v/>
      </c>
      <c r="P9" s="10" t="n"/>
      <c r="Q9" s="9" t="inlineStr">
        <is>
          <t>Non</t>
        </is>
      </c>
      <c r="R9" s="103" t="n">
        <v>6</v>
      </c>
    </row>
    <row r="10">
      <c r="A10" s="9" t="n">
        <v>5</v>
      </c>
      <c r="B10" s="82" t="inlineStr"/>
      <c r="C10" s="82" t="inlineStr"/>
      <c r="D10" s="83" t="inlineStr">
        <is>
          <t>&gt; 10 m² et &lt;= 25 m²</t>
        </is>
      </c>
      <c r="E10" s="9" t="inlineStr">
        <is>
          <t>QP</t>
        </is>
      </c>
      <c r="F10" s="9" t="inlineStr">
        <is>
          <t>m²</t>
        </is>
      </c>
      <c r="G10" s="9" t="n">
        <v>5</v>
      </c>
      <c r="H10" s="10" t="n"/>
      <c r="I10" s="10" t="n"/>
      <c r="J10" s="9">
        <f>G10-I10+H10</f>
        <v/>
      </c>
      <c r="K10" s="213" t="n">
        <v>30</v>
      </c>
      <c r="L10" s="84" t="inlineStr">
        <is>
          <t>trente euros</t>
        </is>
      </c>
      <c r="M10" s="195">
        <f>ROUND(G10*ROUND(K10,2),2)</f>
        <v/>
      </c>
      <c r="N10" s="196" t="n">
        <v>0.21</v>
      </c>
      <c r="O10" s="197">
        <f>ROUND(N10*ROUND(M10,2),2)</f>
        <v/>
      </c>
      <c r="P10" s="10" t="n"/>
      <c r="Q10" s="9" t="inlineStr">
        <is>
          <t>Non</t>
        </is>
      </c>
      <c r="R10" s="103" t="n">
        <v>6</v>
      </c>
    </row>
    <row r="11">
      <c r="A11" s="9" t="n">
        <v>6</v>
      </c>
      <c r="B11" s="82" t="inlineStr"/>
      <c r="C11" s="82" t="inlineStr"/>
      <c r="D11" s="83" t="inlineStr">
        <is>
          <t>&gt; 25 m²</t>
        </is>
      </c>
      <c r="E11" s="9" t="inlineStr">
        <is>
          <t>QP</t>
        </is>
      </c>
      <c r="F11" s="9" t="inlineStr">
        <is>
          <t>m²</t>
        </is>
      </c>
      <c r="G11" s="9" t="n">
        <v>5</v>
      </c>
      <c r="H11" s="10" t="n"/>
      <c r="I11" s="10" t="n"/>
      <c r="J11" s="9">
        <f>G11-I11+H11</f>
        <v/>
      </c>
      <c r="K11" s="213" t="n">
        <v>28</v>
      </c>
      <c r="L11" s="84" t="inlineStr">
        <is>
          <t>vingt-huit euros</t>
        </is>
      </c>
      <c r="M11" s="195">
        <f>ROUND(G11*ROUND(K11,2),2)</f>
        <v/>
      </c>
      <c r="N11" s="196" t="n">
        <v>0.21</v>
      </c>
      <c r="O11" s="197">
        <f>ROUND(N11*ROUND(M11,2),2)</f>
        <v/>
      </c>
      <c r="P11" s="10" t="n"/>
      <c r="Q11" s="9" t="inlineStr">
        <is>
          <t>Non</t>
        </is>
      </c>
      <c r="R11" s="103" t="n">
        <v>6</v>
      </c>
    </row>
    <row r="12" ht="20.4" customFormat="1" customHeight="1" s="71">
      <c r="A12" s="8" t="n"/>
      <c r="B12" s="76" t="inlineStr"/>
      <c r="C12" s="76" t="inlineStr"/>
      <c r="D12" s="77" t="inlineStr">
        <is>
          <t>Panneaux FOREX -  découpe rectangle comprise</t>
        </is>
      </c>
      <c r="E12" s="8" t="inlineStr"/>
      <c r="F12" s="8" t="n"/>
      <c r="G12" s="8" t="n"/>
      <c r="H12" s="11" t="n"/>
      <c r="I12" s="11" t="n"/>
      <c r="J12" s="8" t="n"/>
      <c r="K12" s="198" t="n"/>
      <c r="L12" s="78" t="n"/>
      <c r="M12" s="210" t="n"/>
      <c r="N12" s="211" t="n"/>
      <c r="O12" s="212" t="n"/>
      <c r="P12" s="11" t="n"/>
      <c r="Q12" s="8" t="n"/>
      <c r="R12" s="102" t="n"/>
    </row>
    <row r="13" ht="20.4" customFormat="1" customHeight="1" s="71">
      <c r="A13" s="8" t="n"/>
      <c r="B13" s="76" t="inlineStr"/>
      <c r="C13" s="76" t="inlineStr"/>
      <c r="D13" s="77" t="inlineStr">
        <is>
          <t>Impression sur panneaux FOREX de 2mm</t>
        </is>
      </c>
      <c r="E13" s="8" t="inlineStr"/>
      <c r="F13" s="8" t="n"/>
      <c r="G13" s="8" t="n"/>
      <c r="H13" s="11" t="n"/>
      <c r="I13" s="11" t="n"/>
      <c r="J13" s="8" t="n"/>
      <c r="K13" s="198" t="n"/>
      <c r="L13" s="78" t="n"/>
      <c r="M13" s="210" t="n"/>
      <c r="N13" s="211" t="n"/>
      <c r="O13" s="212" t="n"/>
      <c r="P13" s="11" t="n"/>
      <c r="Q13" s="8" t="n"/>
      <c r="R13" s="102" t="n"/>
    </row>
    <row r="14">
      <c r="A14" s="9" t="n">
        <v>7</v>
      </c>
      <c r="B14" s="82" t="inlineStr"/>
      <c r="C14" s="82" t="inlineStr"/>
      <c r="D14" s="83" t="inlineStr">
        <is>
          <t>&gt;= A2 et &lt;= 1 m²</t>
        </is>
      </c>
      <c r="E14" s="9" t="inlineStr">
        <is>
          <t>QP</t>
        </is>
      </c>
      <c r="F14" s="9" t="inlineStr">
        <is>
          <t>m²</t>
        </is>
      </c>
      <c r="G14" s="9" t="n">
        <v>5</v>
      </c>
      <c r="H14" s="10" t="n"/>
      <c r="I14" s="10" t="n"/>
      <c r="J14" s="9">
        <f>G14-I14+H14</f>
        <v/>
      </c>
      <c r="K14" s="213" t="n">
        <v>62</v>
      </c>
      <c r="L14" s="84" t="inlineStr">
        <is>
          <t>soixante-deux euros</t>
        </is>
      </c>
      <c r="M14" s="195">
        <f>ROUND(G14*ROUND(K14,2),2)</f>
        <v/>
      </c>
      <c r="N14" s="196" t="n">
        <v>0.21</v>
      </c>
      <c r="O14" s="197">
        <f>ROUND(N14*ROUND(M14,2),2)</f>
        <v/>
      </c>
      <c r="P14" s="10" t="n"/>
      <c r="Q14" s="9" t="inlineStr">
        <is>
          <t>Non</t>
        </is>
      </c>
      <c r="R14" s="103" t="n">
        <v>6</v>
      </c>
    </row>
    <row r="15">
      <c r="A15" s="9" t="n">
        <v>8</v>
      </c>
      <c r="B15" s="82" t="inlineStr"/>
      <c r="C15" s="82" t="inlineStr"/>
      <c r="D15" s="83" t="inlineStr">
        <is>
          <t>&gt; 1 m² et &lt;= 2 m²</t>
        </is>
      </c>
      <c r="E15" s="9" t="inlineStr">
        <is>
          <t>QP</t>
        </is>
      </c>
      <c r="F15" s="9" t="inlineStr">
        <is>
          <t>m²</t>
        </is>
      </c>
      <c r="G15" s="9" t="n">
        <v>5</v>
      </c>
      <c r="H15" s="10" t="n"/>
      <c r="I15" s="10" t="n"/>
      <c r="J15" s="9">
        <f>G15-I15+H15</f>
        <v/>
      </c>
      <c r="K15" s="213" t="n">
        <v>52</v>
      </c>
      <c r="L15" s="84" t="inlineStr">
        <is>
          <t>cinquante-deux euros</t>
        </is>
      </c>
      <c r="M15" s="195">
        <f>ROUND(G15*ROUND(K15,2),2)</f>
        <v/>
      </c>
      <c r="N15" s="196" t="n">
        <v>0.21</v>
      </c>
      <c r="O15" s="197">
        <f>ROUND(N15*ROUND(M15,2),2)</f>
        <v/>
      </c>
      <c r="P15" s="10" t="n"/>
      <c r="Q15" s="9" t="inlineStr">
        <is>
          <t>Non</t>
        </is>
      </c>
      <c r="R15" s="103" t="n">
        <v>6</v>
      </c>
    </row>
    <row r="16">
      <c r="A16" s="9" t="n">
        <v>9</v>
      </c>
      <c r="B16" s="82" t="inlineStr"/>
      <c r="C16" s="82" t="inlineStr"/>
      <c r="D16" s="83" t="inlineStr">
        <is>
          <t>&gt; 2 m² et &lt;= 5 m²</t>
        </is>
      </c>
      <c r="E16" s="9" t="inlineStr">
        <is>
          <t>QP</t>
        </is>
      </c>
      <c r="F16" s="9" t="inlineStr">
        <is>
          <t>m²</t>
        </is>
      </c>
      <c r="G16" s="9" t="n">
        <v>5</v>
      </c>
      <c r="H16" s="10" t="n"/>
      <c r="I16" s="10" t="n"/>
      <c r="J16" s="9">
        <f>G16-I16+H16</f>
        <v/>
      </c>
      <c r="K16" s="213" t="n">
        <v>46</v>
      </c>
      <c r="L16" s="84" t="inlineStr">
        <is>
          <t>quarante-six euros</t>
        </is>
      </c>
      <c r="M16" s="195">
        <f>ROUND(G16*ROUND(K16,2),2)</f>
        <v/>
      </c>
      <c r="N16" s="196" t="n">
        <v>0.21</v>
      </c>
      <c r="O16" s="197">
        <f>ROUND(N16*ROUND(M16,2),2)</f>
        <v/>
      </c>
      <c r="P16" s="10" t="n"/>
      <c r="Q16" s="9" t="inlineStr">
        <is>
          <t>Non</t>
        </is>
      </c>
      <c r="R16" s="103" t="n">
        <v>6</v>
      </c>
    </row>
    <row r="17">
      <c r="A17" s="9" t="n">
        <v>10</v>
      </c>
      <c r="B17" s="82" t="inlineStr"/>
      <c r="C17" s="82" t="inlineStr"/>
      <c r="D17" s="83" t="inlineStr">
        <is>
          <t>&gt; 5 m² et &lt;= 10 m²</t>
        </is>
      </c>
      <c r="E17" s="9" t="inlineStr">
        <is>
          <t>QP</t>
        </is>
      </c>
      <c r="F17" s="9" t="inlineStr">
        <is>
          <t>m²</t>
        </is>
      </c>
      <c r="G17" s="9" t="n">
        <v>5</v>
      </c>
      <c r="H17" s="10" t="n"/>
      <c r="I17" s="10" t="n"/>
      <c r="J17" s="9">
        <f>G17-I17+H17</f>
        <v/>
      </c>
      <c r="K17" s="213" t="n">
        <v>40</v>
      </c>
      <c r="L17" s="84" t="inlineStr">
        <is>
          <t>quarante euros</t>
        </is>
      </c>
      <c r="M17" s="195">
        <f>ROUND(G17*ROUND(K17,2),2)</f>
        <v/>
      </c>
      <c r="N17" s="196" t="n">
        <v>0.21</v>
      </c>
      <c r="O17" s="197">
        <f>ROUND(N17*ROUND(M17,2),2)</f>
        <v/>
      </c>
      <c r="P17" s="10" t="n"/>
      <c r="Q17" s="9" t="inlineStr">
        <is>
          <t>Non</t>
        </is>
      </c>
      <c r="R17" s="103" t="n">
        <v>6</v>
      </c>
    </row>
    <row r="18">
      <c r="A18" s="9" t="n">
        <v>11</v>
      </c>
      <c r="B18" s="82" t="inlineStr"/>
      <c r="C18" s="82" t="inlineStr"/>
      <c r="D18" s="83" t="inlineStr">
        <is>
          <t>&gt; 10 m² et &lt;= 25 m²</t>
        </is>
      </c>
      <c r="E18" s="9" t="inlineStr">
        <is>
          <t>QP</t>
        </is>
      </c>
      <c r="F18" s="9" t="inlineStr">
        <is>
          <t>m²</t>
        </is>
      </c>
      <c r="G18" s="9" t="n">
        <v>5</v>
      </c>
      <c r="H18" s="10" t="n"/>
      <c r="I18" s="10" t="n"/>
      <c r="J18" s="9">
        <f>G18-I18+H18</f>
        <v/>
      </c>
      <c r="K18" s="213" t="n">
        <v>36</v>
      </c>
      <c r="L18" s="84" t="inlineStr">
        <is>
          <t>trente-six euros</t>
        </is>
      </c>
      <c r="M18" s="195">
        <f>ROUND(G18*ROUND(K18,2),2)</f>
        <v/>
      </c>
      <c r="N18" s="196" t="n">
        <v>0.21</v>
      </c>
      <c r="O18" s="197">
        <f>ROUND(N18*ROUND(M18,2),2)</f>
        <v/>
      </c>
      <c r="P18" s="10" t="n"/>
      <c r="Q18" s="9" t="inlineStr">
        <is>
          <t>Non</t>
        </is>
      </c>
      <c r="R18" s="103" t="n">
        <v>6</v>
      </c>
    </row>
    <row r="19">
      <c r="A19" s="9" t="n">
        <v>12</v>
      </c>
      <c r="B19" s="82" t="inlineStr"/>
      <c r="C19" s="82" t="inlineStr"/>
      <c r="D19" s="83" t="inlineStr">
        <is>
          <t>&gt; 25 m²</t>
        </is>
      </c>
      <c r="E19" s="9" t="inlineStr">
        <is>
          <t>QP</t>
        </is>
      </c>
      <c r="F19" s="9" t="inlineStr">
        <is>
          <t>m²</t>
        </is>
      </c>
      <c r="G19" s="9" t="n">
        <v>5</v>
      </c>
      <c r="H19" s="10" t="n"/>
      <c r="I19" s="10" t="n"/>
      <c r="J19" s="9">
        <f>G19-I19+H19</f>
        <v/>
      </c>
      <c r="K19" s="213" t="n">
        <v>33</v>
      </c>
      <c r="L19" s="84" t="inlineStr">
        <is>
          <t>trente-trois euros</t>
        </is>
      </c>
      <c r="M19" s="195">
        <f>ROUND(G19*ROUND(K19,2),2)</f>
        <v/>
      </c>
      <c r="N19" s="196" t="n">
        <v>0.21</v>
      </c>
      <c r="O19" s="197">
        <f>ROUND(N19*ROUND(M19,2),2)</f>
        <v/>
      </c>
      <c r="P19" s="10" t="n"/>
      <c r="Q19" s="9" t="inlineStr">
        <is>
          <t>Non</t>
        </is>
      </c>
      <c r="R19" s="103" t="n">
        <v>6</v>
      </c>
    </row>
    <row r="20" ht="20.4" customFormat="1" customHeight="1" s="71">
      <c r="A20" s="8" t="n"/>
      <c r="B20" s="76" t="inlineStr"/>
      <c r="C20" s="76" t="inlineStr"/>
      <c r="D20" s="77" t="inlineStr">
        <is>
          <t>Impression sur panneau FOREX de 3mm</t>
        </is>
      </c>
      <c r="E20" s="8" t="inlineStr"/>
      <c r="F20" s="8" t="n"/>
      <c r="G20" s="8" t="n"/>
      <c r="H20" s="11" t="n"/>
      <c r="I20" s="11" t="n"/>
      <c r="J20" s="8" t="n"/>
      <c r="K20" s="198" t="n"/>
      <c r="L20" s="78" t="n"/>
      <c r="M20" s="210" t="n"/>
      <c r="N20" s="211" t="n"/>
      <c r="O20" s="212" t="n"/>
      <c r="P20" s="11" t="n"/>
      <c r="Q20" s="8" t="n"/>
      <c r="R20" s="102" t="n"/>
    </row>
    <row r="21">
      <c r="A21" s="9" t="n">
        <v>13</v>
      </c>
      <c r="B21" s="82" t="inlineStr"/>
      <c r="C21" s="82" t="inlineStr"/>
      <c r="D21" s="83" t="inlineStr">
        <is>
          <t>&gt;= A2 et &lt;= 1 m²</t>
        </is>
      </c>
      <c r="E21" s="9" t="inlineStr">
        <is>
          <t>QP</t>
        </is>
      </c>
      <c r="F21" s="9" t="inlineStr">
        <is>
          <t>m²</t>
        </is>
      </c>
      <c r="G21" s="9" t="n">
        <v>5</v>
      </c>
      <c r="H21" s="10" t="n"/>
      <c r="I21" s="10" t="n"/>
      <c r="J21" s="9">
        <f>G21-I21+H21</f>
        <v/>
      </c>
      <c r="K21" s="213" t="n">
        <v>68</v>
      </c>
      <c r="L21" s="84" t="inlineStr">
        <is>
          <t>soixante-huit euros</t>
        </is>
      </c>
      <c r="M21" s="195">
        <f>ROUND(G21*ROUND(K21,2),2)</f>
        <v/>
      </c>
      <c r="N21" s="196" t="n">
        <v>0.21</v>
      </c>
      <c r="O21" s="197">
        <f>ROUND(N21*ROUND(M21,2),2)</f>
        <v/>
      </c>
      <c r="P21" s="10" t="n"/>
      <c r="Q21" s="9" t="inlineStr">
        <is>
          <t>Non</t>
        </is>
      </c>
      <c r="R21" s="103" t="n">
        <v>6</v>
      </c>
    </row>
    <row r="22">
      <c r="A22" s="9" t="n">
        <v>14</v>
      </c>
      <c r="B22" s="82" t="inlineStr"/>
      <c r="C22" s="82" t="inlineStr"/>
      <c r="D22" s="83" t="inlineStr">
        <is>
          <t>&gt; 1 m² et &lt;= 2 m²</t>
        </is>
      </c>
      <c r="E22" s="9" t="inlineStr">
        <is>
          <t>QP</t>
        </is>
      </c>
      <c r="F22" s="9" t="inlineStr">
        <is>
          <t>m²</t>
        </is>
      </c>
      <c r="G22" s="9" t="n">
        <v>5</v>
      </c>
      <c r="H22" s="10" t="n"/>
      <c r="I22" s="10" t="n"/>
      <c r="J22" s="9">
        <f>G22-I22+H22</f>
        <v/>
      </c>
      <c r="K22" s="213" t="n">
        <v>57</v>
      </c>
      <c r="L22" s="84" t="inlineStr">
        <is>
          <t>cinquante-sept euros</t>
        </is>
      </c>
      <c r="M22" s="195">
        <f>ROUND(G22*ROUND(K22,2),2)</f>
        <v/>
      </c>
      <c r="N22" s="196" t="n">
        <v>0.21</v>
      </c>
      <c r="O22" s="197">
        <f>ROUND(N22*ROUND(M22,2),2)</f>
        <v/>
      </c>
      <c r="P22" s="10" t="n"/>
      <c r="Q22" s="9" t="inlineStr">
        <is>
          <t>Non</t>
        </is>
      </c>
      <c r="R22" s="103" t="n">
        <v>6</v>
      </c>
    </row>
    <row r="23">
      <c r="A23" s="9" t="n">
        <v>15</v>
      </c>
      <c r="B23" s="82" t="inlineStr"/>
      <c r="C23" s="82" t="inlineStr"/>
      <c r="D23" s="83" t="inlineStr">
        <is>
          <t>&gt; 2 m² et &lt;= 5 m²</t>
        </is>
      </c>
      <c r="E23" s="9" t="inlineStr">
        <is>
          <t>QP</t>
        </is>
      </c>
      <c r="F23" s="9" t="inlineStr">
        <is>
          <t>m²</t>
        </is>
      </c>
      <c r="G23" s="9" t="n">
        <v>5</v>
      </c>
      <c r="H23" s="10" t="n"/>
      <c r="I23" s="10" t="n"/>
      <c r="J23" s="9">
        <f>G23-I23+H23</f>
        <v/>
      </c>
      <c r="K23" s="213" t="n">
        <v>50</v>
      </c>
      <c r="L23" s="84" t="inlineStr">
        <is>
          <t>cinquante euros</t>
        </is>
      </c>
      <c r="M23" s="195">
        <f>ROUND(G23*ROUND(K23,2),2)</f>
        <v/>
      </c>
      <c r="N23" s="196" t="n">
        <v>0.21</v>
      </c>
      <c r="O23" s="197">
        <f>ROUND(N23*ROUND(M23,2),2)</f>
        <v/>
      </c>
      <c r="P23" s="10" t="n"/>
      <c r="Q23" s="9" t="inlineStr">
        <is>
          <t>Non</t>
        </is>
      </c>
      <c r="R23" s="103" t="n">
        <v>6</v>
      </c>
    </row>
    <row r="24">
      <c r="A24" s="9" t="n">
        <v>16</v>
      </c>
      <c r="B24" s="82" t="inlineStr"/>
      <c r="C24" s="82" t="inlineStr"/>
      <c r="D24" s="83" t="inlineStr">
        <is>
          <t>&gt; 5 m² et &lt;= 10 m²</t>
        </is>
      </c>
      <c r="E24" s="9" t="inlineStr">
        <is>
          <t>QP</t>
        </is>
      </c>
      <c r="F24" s="9" t="inlineStr">
        <is>
          <t>m²</t>
        </is>
      </c>
      <c r="G24" s="9" t="n">
        <v>5</v>
      </c>
      <c r="H24" s="10" t="n"/>
      <c r="I24" s="10" t="n"/>
      <c r="J24" s="9">
        <f>G24-I24+H24</f>
        <v/>
      </c>
      <c r="K24" s="213" t="n">
        <v>44</v>
      </c>
      <c r="L24" s="84" t="inlineStr">
        <is>
          <t>quarante-quatre euros</t>
        </is>
      </c>
      <c r="M24" s="195">
        <f>ROUND(G24*ROUND(K24,2),2)</f>
        <v/>
      </c>
      <c r="N24" s="196" t="n">
        <v>0.21</v>
      </c>
      <c r="O24" s="197">
        <f>ROUND(N24*ROUND(M24,2),2)</f>
        <v/>
      </c>
      <c r="P24" s="10" t="n"/>
      <c r="Q24" s="9" t="inlineStr">
        <is>
          <t>Non</t>
        </is>
      </c>
      <c r="R24" s="103" t="n">
        <v>6</v>
      </c>
    </row>
    <row r="25">
      <c r="A25" s="9" t="n">
        <v>17</v>
      </c>
      <c r="B25" s="82" t="inlineStr"/>
      <c r="C25" s="82" t="inlineStr"/>
      <c r="D25" s="83" t="inlineStr">
        <is>
          <t>&gt; 10 m² et &lt;= 25 m²</t>
        </is>
      </c>
      <c r="E25" s="9" t="inlineStr">
        <is>
          <t>QP</t>
        </is>
      </c>
      <c r="F25" s="9" t="inlineStr">
        <is>
          <t>m²</t>
        </is>
      </c>
      <c r="G25" s="9" t="n">
        <v>5</v>
      </c>
      <c r="H25" s="10" t="n"/>
      <c r="I25" s="10" t="n"/>
      <c r="J25" s="9">
        <f>G25-I25+H25</f>
        <v/>
      </c>
      <c r="K25" s="213" t="n">
        <v>40</v>
      </c>
      <c r="L25" s="84" t="inlineStr">
        <is>
          <t>quarante euros</t>
        </is>
      </c>
      <c r="M25" s="195">
        <f>ROUND(G25*ROUND(K25,2),2)</f>
        <v/>
      </c>
      <c r="N25" s="196" t="n">
        <v>0.21</v>
      </c>
      <c r="O25" s="197">
        <f>ROUND(N25*ROUND(M25,2),2)</f>
        <v/>
      </c>
      <c r="P25" s="10" t="n"/>
      <c r="Q25" s="9" t="inlineStr">
        <is>
          <t>Non</t>
        </is>
      </c>
      <c r="R25" s="103" t="n">
        <v>6</v>
      </c>
    </row>
    <row r="26">
      <c r="A26" s="9" t="n">
        <v>18</v>
      </c>
      <c r="B26" s="82" t="inlineStr"/>
      <c r="C26" s="82" t="inlineStr"/>
      <c r="D26" s="83" t="inlineStr">
        <is>
          <t>&gt; 25 m²</t>
        </is>
      </c>
      <c r="E26" s="9" t="inlineStr">
        <is>
          <t>QP</t>
        </is>
      </c>
      <c r="F26" s="9" t="inlineStr">
        <is>
          <t>m²</t>
        </is>
      </c>
      <c r="G26" s="9" t="n">
        <v>5</v>
      </c>
      <c r="H26" s="10" t="n"/>
      <c r="I26" s="10" t="n"/>
      <c r="J26" s="9">
        <f>G26-I26+H26</f>
        <v/>
      </c>
      <c r="K26" s="213" t="n">
        <v>36</v>
      </c>
      <c r="L26" s="84" t="inlineStr">
        <is>
          <t>trente-six euros</t>
        </is>
      </c>
      <c r="M26" s="195">
        <f>ROUND(G26*ROUND(K26,2),2)</f>
        <v/>
      </c>
      <c r="N26" s="196" t="n">
        <v>0.21</v>
      </c>
      <c r="O26" s="197">
        <f>ROUND(N26*ROUND(M26,2),2)</f>
        <v/>
      </c>
      <c r="P26" s="10" t="n"/>
      <c r="Q26" s="9" t="inlineStr">
        <is>
          <t>Non</t>
        </is>
      </c>
      <c r="R26" s="103" t="n">
        <v>6</v>
      </c>
    </row>
    <row r="27" ht="20.4" customFormat="1" customHeight="1" s="71">
      <c r="A27" s="8" t="n"/>
      <c r="B27" s="76" t="inlineStr"/>
      <c r="C27" s="76" t="inlineStr"/>
      <c r="D27" s="77" t="inlineStr">
        <is>
          <t>Impression sur panneau FOREX de 5mm</t>
        </is>
      </c>
      <c r="E27" s="8" t="inlineStr"/>
      <c r="F27" s="8" t="n"/>
      <c r="G27" s="8" t="n"/>
      <c r="H27" s="11" t="n"/>
      <c r="I27" s="11" t="n"/>
      <c r="J27" s="8" t="n"/>
      <c r="K27" s="198" t="n"/>
      <c r="L27" s="78" t="n"/>
      <c r="M27" s="210" t="n"/>
      <c r="N27" s="211" t="n"/>
      <c r="O27" s="212" t="n"/>
      <c r="P27" s="11" t="n"/>
      <c r="Q27" s="8" t="n"/>
      <c r="R27" s="102" t="n"/>
    </row>
    <row r="28">
      <c r="A28" s="9" t="n">
        <v>19</v>
      </c>
      <c r="B28" s="82" t="inlineStr"/>
      <c r="C28" s="82" t="inlineStr"/>
      <c r="D28" s="83" t="inlineStr">
        <is>
          <t>&gt;= A2 et &lt;= 1 m²</t>
        </is>
      </c>
      <c r="E28" s="9" t="inlineStr">
        <is>
          <t>QP</t>
        </is>
      </c>
      <c r="F28" s="9" t="inlineStr">
        <is>
          <t>m²</t>
        </is>
      </c>
      <c r="G28" s="9" t="n">
        <v>5</v>
      </c>
      <c r="H28" s="10" t="n"/>
      <c r="I28" s="10" t="n"/>
      <c r="J28" s="9">
        <f>G28-I28+H28</f>
        <v/>
      </c>
      <c r="K28" s="213" t="n">
        <v>80</v>
      </c>
      <c r="L28" s="84" t="inlineStr">
        <is>
          <t>quatre-vingts euros</t>
        </is>
      </c>
      <c r="M28" s="195">
        <f>ROUND(G28*ROUND(K28,2),2)</f>
        <v/>
      </c>
      <c r="N28" s="196" t="n">
        <v>0.21</v>
      </c>
      <c r="O28" s="197">
        <f>ROUND(N28*ROUND(M28,2),2)</f>
        <v/>
      </c>
      <c r="P28" s="10" t="n"/>
      <c r="Q28" s="9" t="inlineStr">
        <is>
          <t>Non</t>
        </is>
      </c>
      <c r="R28" s="103" t="n">
        <v>6</v>
      </c>
    </row>
    <row r="29">
      <c r="A29" s="9" t="n">
        <v>20</v>
      </c>
      <c r="B29" s="82" t="inlineStr"/>
      <c r="C29" s="82" t="inlineStr"/>
      <c r="D29" s="83" t="inlineStr">
        <is>
          <t>&gt; 1 m² et &lt;= 2 m²</t>
        </is>
      </c>
      <c r="E29" s="9" t="inlineStr">
        <is>
          <t>QP</t>
        </is>
      </c>
      <c r="F29" s="9" t="inlineStr">
        <is>
          <t>m²</t>
        </is>
      </c>
      <c r="G29" s="9" t="n">
        <v>5</v>
      </c>
      <c r="H29" s="10" t="n"/>
      <c r="I29" s="10" t="n"/>
      <c r="J29" s="9">
        <f>G29-I29+H29</f>
        <v/>
      </c>
      <c r="K29" s="213" t="n">
        <v>66</v>
      </c>
      <c r="L29" s="84" t="inlineStr">
        <is>
          <t>soixante-six euros</t>
        </is>
      </c>
      <c r="M29" s="195">
        <f>ROUND(G29*ROUND(K29,2),2)</f>
        <v/>
      </c>
      <c r="N29" s="196" t="n">
        <v>0.21</v>
      </c>
      <c r="O29" s="197">
        <f>ROUND(N29*ROUND(M29,2),2)</f>
        <v/>
      </c>
      <c r="P29" s="10" t="n"/>
      <c r="Q29" s="9" t="inlineStr">
        <is>
          <t>Non</t>
        </is>
      </c>
      <c r="R29" s="103" t="n">
        <v>6</v>
      </c>
    </row>
    <row r="30">
      <c r="A30" s="9" t="n">
        <v>21</v>
      </c>
      <c r="B30" s="82" t="inlineStr"/>
      <c r="C30" s="82" t="inlineStr"/>
      <c r="D30" s="83" t="inlineStr">
        <is>
          <t>&gt; 2 m² et &lt;= 5 m²</t>
        </is>
      </c>
      <c r="E30" s="9" t="inlineStr">
        <is>
          <t>QP</t>
        </is>
      </c>
      <c r="F30" s="9" t="inlineStr">
        <is>
          <t>m²</t>
        </is>
      </c>
      <c r="G30" s="9" t="n">
        <v>5</v>
      </c>
      <c r="H30" s="10" t="n"/>
      <c r="I30" s="10" t="n"/>
      <c r="J30" s="9">
        <f>G30-I30+H30</f>
        <v/>
      </c>
      <c r="K30" s="213" t="n">
        <v>58</v>
      </c>
      <c r="L30" s="84" t="inlineStr">
        <is>
          <t>cinquante-huit euros</t>
        </is>
      </c>
      <c r="M30" s="195">
        <f>ROUND(G30*ROUND(K30,2),2)</f>
        <v/>
      </c>
      <c r="N30" s="196" t="n">
        <v>0.21</v>
      </c>
      <c r="O30" s="197">
        <f>ROUND(N30*ROUND(M30,2),2)</f>
        <v/>
      </c>
      <c r="P30" s="10" t="n"/>
      <c r="Q30" s="9" t="inlineStr">
        <is>
          <t>Non</t>
        </is>
      </c>
      <c r="R30" s="103" t="n">
        <v>6</v>
      </c>
    </row>
    <row r="31">
      <c r="A31" s="9" t="n">
        <v>22</v>
      </c>
      <c r="B31" s="82" t="inlineStr"/>
      <c r="C31" s="82" t="inlineStr"/>
      <c r="D31" s="83" t="inlineStr">
        <is>
          <t>&gt; 5 m² et &lt;= 10 m²</t>
        </is>
      </c>
      <c r="E31" s="9" t="inlineStr">
        <is>
          <t>QP</t>
        </is>
      </c>
      <c r="F31" s="9" t="inlineStr">
        <is>
          <t>m²</t>
        </is>
      </c>
      <c r="G31" s="9" t="n">
        <v>5</v>
      </c>
      <c r="H31" s="10" t="n"/>
      <c r="I31" s="10" t="n"/>
      <c r="J31" s="9">
        <f>G31-I31+H31</f>
        <v/>
      </c>
      <c r="K31" s="213" t="n">
        <v>52</v>
      </c>
      <c r="L31" s="84" t="inlineStr">
        <is>
          <t>cinquante-deux euros</t>
        </is>
      </c>
      <c r="M31" s="195">
        <f>ROUND(G31*ROUND(K31,2),2)</f>
        <v/>
      </c>
      <c r="N31" s="196" t="n">
        <v>0.21</v>
      </c>
      <c r="O31" s="197">
        <f>ROUND(N31*ROUND(M31,2),2)</f>
        <v/>
      </c>
      <c r="P31" s="10" t="n"/>
      <c r="Q31" s="9" t="inlineStr">
        <is>
          <t>Non</t>
        </is>
      </c>
      <c r="R31" s="103" t="n">
        <v>6</v>
      </c>
    </row>
    <row r="32">
      <c r="A32" s="9" t="n">
        <v>23</v>
      </c>
      <c r="B32" s="82" t="inlineStr"/>
      <c r="C32" s="82" t="inlineStr"/>
      <c r="D32" s="83" t="inlineStr">
        <is>
          <t>&gt; 10 m² et &lt;= 25 m²</t>
        </is>
      </c>
      <c r="E32" s="9" t="inlineStr">
        <is>
          <t>QP</t>
        </is>
      </c>
      <c r="F32" s="9" t="inlineStr">
        <is>
          <t>m²</t>
        </is>
      </c>
      <c r="G32" s="9" t="n">
        <v>5</v>
      </c>
      <c r="H32" s="10" t="n"/>
      <c r="I32" s="10" t="n"/>
      <c r="J32" s="9">
        <f>G32-I32+H32</f>
        <v/>
      </c>
      <c r="K32" s="213" t="n">
        <v>47</v>
      </c>
      <c r="L32" s="84" t="inlineStr">
        <is>
          <t>quarante-sept euros</t>
        </is>
      </c>
      <c r="M32" s="195">
        <f>ROUND(G32*ROUND(K32,2),2)</f>
        <v/>
      </c>
      <c r="N32" s="196" t="n">
        <v>0.21</v>
      </c>
      <c r="O32" s="197">
        <f>ROUND(N32*ROUND(M32,2),2)</f>
        <v/>
      </c>
      <c r="P32" s="10" t="n"/>
      <c r="Q32" s="9" t="inlineStr">
        <is>
          <t>Non</t>
        </is>
      </c>
      <c r="R32" s="103" t="n">
        <v>6</v>
      </c>
    </row>
    <row r="33">
      <c r="A33" s="9" t="n">
        <v>24</v>
      </c>
      <c r="B33" s="82" t="inlineStr"/>
      <c r="C33" s="82" t="inlineStr"/>
      <c r="D33" s="83" t="inlineStr">
        <is>
          <t>&gt; 25 m²</t>
        </is>
      </c>
      <c r="E33" s="9" t="inlineStr">
        <is>
          <t>QP</t>
        </is>
      </c>
      <c r="F33" s="9" t="inlineStr">
        <is>
          <t>m²</t>
        </is>
      </c>
      <c r="G33" s="9" t="n">
        <v>5</v>
      </c>
      <c r="H33" s="10" t="n"/>
      <c r="I33" s="10" t="n"/>
      <c r="J33" s="9">
        <f>G33-I33+H33</f>
        <v/>
      </c>
      <c r="K33" s="213" t="n">
        <v>43</v>
      </c>
      <c r="L33" s="84" t="inlineStr">
        <is>
          <t>quarante-trois euros</t>
        </is>
      </c>
      <c r="M33" s="195">
        <f>ROUND(G33*ROUND(K33,2),2)</f>
        <v/>
      </c>
      <c r="N33" s="196" t="n">
        <v>0.21</v>
      </c>
      <c r="O33" s="197">
        <f>ROUND(N33*ROUND(M33,2),2)</f>
        <v/>
      </c>
      <c r="P33" s="10" t="n"/>
      <c r="Q33" s="9" t="inlineStr">
        <is>
          <t>Non</t>
        </is>
      </c>
      <c r="R33" s="103" t="n">
        <v>6</v>
      </c>
    </row>
    <row r="34" ht="30.6" customFormat="1" customHeight="1" s="71">
      <c r="A34" s="8" t="n"/>
      <c r="B34" s="76" t="inlineStr"/>
      <c r="C34" s="76" t="inlineStr"/>
      <c r="D34" s="77" t="inlineStr">
        <is>
          <t>Cartels FOREX / dimension maximum A5 - découpe rectangle comprise</t>
        </is>
      </c>
      <c r="E34" s="8" t="inlineStr"/>
      <c r="F34" s="8" t="n"/>
      <c r="G34" s="8" t="n"/>
      <c r="H34" s="11" t="n"/>
      <c r="I34" s="11" t="n"/>
      <c r="J34" s="8" t="n"/>
      <c r="K34" s="198" t="n"/>
      <c r="L34" s="78" t="n"/>
      <c r="M34" s="210" t="n"/>
      <c r="N34" s="211" t="n"/>
      <c r="O34" s="212" t="n"/>
      <c r="P34" s="11" t="n"/>
      <c r="Q34" s="8" t="n"/>
      <c r="R34" s="102" t="n"/>
    </row>
    <row r="35" ht="20.4" customFormat="1" customHeight="1" s="71">
      <c r="A35" s="8" t="n"/>
      <c r="B35" s="76" t="inlineStr"/>
      <c r="C35" s="76" t="inlineStr"/>
      <c r="D35" s="77" t="inlineStr">
        <is>
          <t>Impression sur panneaux FOREX de 2mm</t>
        </is>
      </c>
      <c r="E35" s="8" t="inlineStr"/>
      <c r="F35" s="8" t="n"/>
      <c r="G35" s="8" t="n"/>
      <c r="H35" s="11" t="n"/>
      <c r="I35" s="11" t="n"/>
      <c r="J35" s="8" t="n"/>
      <c r="K35" s="198" t="n"/>
      <c r="L35" s="78" t="n"/>
      <c r="M35" s="210" t="n"/>
      <c r="N35" s="211" t="n"/>
      <c r="O35" s="212" t="n"/>
      <c r="P35" s="11" t="n"/>
      <c r="Q35" s="8" t="n"/>
      <c r="R35" s="102" t="n"/>
    </row>
    <row r="36">
      <c r="A36" s="9" t="n">
        <v>25</v>
      </c>
      <c r="B36" s="82" t="inlineStr"/>
      <c r="C36" s="82" t="inlineStr"/>
      <c r="D36" s="83" t="inlineStr">
        <is>
          <t>10 cartels</t>
        </is>
      </c>
      <c r="E36" s="9" t="inlineStr">
        <is>
          <t>QP</t>
        </is>
      </c>
      <c r="F36" s="9" t="inlineStr">
        <is>
          <t>10 cartels</t>
        </is>
      </c>
      <c r="G36" s="9" t="n">
        <v>5</v>
      </c>
      <c r="H36" s="10" t="n"/>
      <c r="I36" s="10" t="n"/>
      <c r="J36" s="9">
        <f>G36-I36+H36</f>
        <v/>
      </c>
      <c r="K36" s="213" t="n">
        <v>35</v>
      </c>
      <c r="L36" s="84" t="inlineStr">
        <is>
          <t>trente-cinq euros</t>
        </is>
      </c>
      <c r="M36" s="195">
        <f>ROUND(G36*ROUND(K36,2),2)</f>
        <v/>
      </c>
      <c r="N36" s="196" t="n">
        <v>0.21</v>
      </c>
      <c r="O36" s="197">
        <f>ROUND(N36*ROUND(M36,2),2)</f>
        <v/>
      </c>
      <c r="P36" s="10" t="n"/>
      <c r="Q36" s="9" t="inlineStr">
        <is>
          <t>Non</t>
        </is>
      </c>
      <c r="R36" s="103" t="n">
        <v>6</v>
      </c>
    </row>
    <row r="37">
      <c r="A37" s="9" t="n">
        <v>26</v>
      </c>
      <c r="B37" s="82" t="inlineStr"/>
      <c r="C37" s="82" t="inlineStr"/>
      <c r="D37" s="83" t="inlineStr">
        <is>
          <t>25 cartels</t>
        </is>
      </c>
      <c r="E37" s="9" t="inlineStr">
        <is>
          <t>QP</t>
        </is>
      </c>
      <c r="F37" s="9" t="inlineStr">
        <is>
          <t>25 cartels</t>
        </is>
      </c>
      <c r="G37" s="9" t="n">
        <v>5</v>
      </c>
      <c r="H37" s="10" t="n"/>
      <c r="I37" s="10" t="n"/>
      <c r="J37" s="9">
        <f>G37-I37+H37</f>
        <v/>
      </c>
      <c r="K37" s="213" t="n">
        <v>70</v>
      </c>
      <c r="L37" s="84" t="inlineStr">
        <is>
          <t>soixante-dix euros</t>
        </is>
      </c>
      <c r="M37" s="195">
        <f>ROUND(G37*ROUND(K37,2),2)</f>
        <v/>
      </c>
      <c r="N37" s="196" t="n">
        <v>0.21</v>
      </c>
      <c r="O37" s="197">
        <f>ROUND(N37*ROUND(M37,2),2)</f>
        <v/>
      </c>
      <c r="P37" s="10" t="n"/>
      <c r="Q37" s="9" t="inlineStr">
        <is>
          <t>Non</t>
        </is>
      </c>
      <c r="R37" s="103" t="n">
        <v>6</v>
      </c>
    </row>
    <row r="38">
      <c r="A38" s="9" t="n">
        <v>27</v>
      </c>
      <c r="B38" s="82" t="inlineStr"/>
      <c r="C38" s="82" t="inlineStr"/>
      <c r="D38" s="83" t="inlineStr">
        <is>
          <t>50 cartels</t>
        </is>
      </c>
      <c r="E38" s="9" t="inlineStr">
        <is>
          <t>QP</t>
        </is>
      </c>
      <c r="F38" s="9" t="inlineStr">
        <is>
          <t>50 cartels</t>
        </is>
      </c>
      <c r="G38" s="9" t="n">
        <v>5</v>
      </c>
      <c r="H38" s="10" t="n"/>
      <c r="I38" s="10" t="n"/>
      <c r="J38" s="9">
        <f>G38-I38+H38</f>
        <v/>
      </c>
      <c r="K38" s="213" t="n">
        <v>120</v>
      </c>
      <c r="L38" s="84" t="inlineStr">
        <is>
          <t>cent vingt euros</t>
        </is>
      </c>
      <c r="M38" s="195">
        <f>ROUND(G38*ROUND(K38,2),2)</f>
        <v/>
      </c>
      <c r="N38" s="196" t="n">
        <v>0.21</v>
      </c>
      <c r="O38" s="197">
        <f>ROUND(N38*ROUND(M38,2),2)</f>
        <v/>
      </c>
      <c r="P38" s="10" t="n"/>
      <c r="Q38" s="9" t="inlineStr">
        <is>
          <t>Non</t>
        </is>
      </c>
      <c r="R38" s="103" t="n">
        <v>6</v>
      </c>
    </row>
    <row r="39">
      <c r="A39" s="9" t="n">
        <v>28</v>
      </c>
      <c r="B39" s="82" t="inlineStr"/>
      <c r="C39" s="82" t="inlineStr"/>
      <c r="D39" s="83" t="inlineStr">
        <is>
          <t>100 cartels</t>
        </is>
      </c>
      <c r="E39" s="9" t="inlineStr">
        <is>
          <t>QP</t>
        </is>
      </c>
      <c r="F39" s="9" t="inlineStr">
        <is>
          <t>100 cartels</t>
        </is>
      </c>
      <c r="G39" s="9" t="n">
        <v>5</v>
      </c>
      <c r="H39" s="10" t="n"/>
      <c r="I39" s="10" t="n"/>
      <c r="J39" s="9">
        <f>G39-I39+H39</f>
        <v/>
      </c>
      <c r="K39" s="213" t="n">
        <v>210</v>
      </c>
      <c r="L39" s="84" t="inlineStr">
        <is>
          <t>deux cent dix euros</t>
        </is>
      </c>
      <c r="M39" s="195">
        <f>ROUND(G39*ROUND(K39,2),2)</f>
        <v/>
      </c>
      <c r="N39" s="196" t="n">
        <v>0.21</v>
      </c>
      <c r="O39" s="197">
        <f>ROUND(N39*ROUND(M39,2),2)</f>
        <v/>
      </c>
      <c r="P39" s="10" t="n"/>
      <c r="Q39" s="9" t="inlineStr">
        <is>
          <t>Non</t>
        </is>
      </c>
      <c r="R39" s="103" t="n">
        <v>6</v>
      </c>
    </row>
    <row r="40">
      <c r="A40" s="9" t="n">
        <v>29</v>
      </c>
      <c r="B40" s="82" t="inlineStr"/>
      <c r="C40" s="82" t="inlineStr"/>
      <c r="D40" s="83" t="inlineStr">
        <is>
          <t>150 cartels</t>
        </is>
      </c>
      <c r="E40" s="9" t="inlineStr">
        <is>
          <t>QP</t>
        </is>
      </c>
      <c r="F40" s="9" t="inlineStr">
        <is>
          <t>150 cartels</t>
        </is>
      </c>
      <c r="G40" s="9" t="n">
        <v>5</v>
      </c>
      <c r="H40" s="10" t="n"/>
      <c r="I40" s="10" t="n"/>
      <c r="J40" s="9">
        <f>G40-I40+H40</f>
        <v/>
      </c>
      <c r="K40" s="213" t="n">
        <v>290</v>
      </c>
      <c r="L40" s="84" t="inlineStr">
        <is>
          <t>deux cent quatre-vingt-dix euros</t>
        </is>
      </c>
      <c r="M40" s="195">
        <f>ROUND(G40*ROUND(K40,2),2)</f>
        <v/>
      </c>
      <c r="N40" s="196" t="n">
        <v>0.21</v>
      </c>
      <c r="O40" s="197">
        <f>ROUND(N40*ROUND(M40,2),2)</f>
        <v/>
      </c>
      <c r="P40" s="10" t="n"/>
      <c r="Q40" s="9" t="inlineStr">
        <is>
          <t>Non</t>
        </is>
      </c>
      <c r="R40" s="103" t="n">
        <v>6</v>
      </c>
    </row>
    <row r="41">
      <c r="A41" s="9" t="n">
        <v>30</v>
      </c>
      <c r="B41" s="82" t="inlineStr"/>
      <c r="C41" s="82" t="inlineStr"/>
      <c r="D41" s="83" t="inlineStr">
        <is>
          <t>200 cartels</t>
        </is>
      </c>
      <c r="E41" s="9" t="inlineStr">
        <is>
          <t>QP</t>
        </is>
      </c>
      <c r="F41" s="9" t="inlineStr">
        <is>
          <t>200 cartels</t>
        </is>
      </c>
      <c r="G41" s="9" t="n">
        <v>5</v>
      </c>
      <c r="H41" s="10" t="n"/>
      <c r="I41" s="10" t="n"/>
      <c r="J41" s="9">
        <f>G41-I41+H41</f>
        <v/>
      </c>
      <c r="K41" s="213" t="n">
        <v>360</v>
      </c>
      <c r="L41" s="84" t="inlineStr">
        <is>
          <t>trois cent soixante euros</t>
        </is>
      </c>
      <c r="M41" s="195">
        <f>ROUND(G41*ROUND(K41,2),2)</f>
        <v/>
      </c>
      <c r="N41" s="196" t="n">
        <v>0.21</v>
      </c>
      <c r="O41" s="197">
        <f>ROUND(N41*ROUND(M41,2),2)</f>
        <v/>
      </c>
      <c r="P41" s="10" t="n"/>
      <c r="Q41" s="9" t="inlineStr">
        <is>
          <t>Non</t>
        </is>
      </c>
      <c r="R41" s="103" t="n">
        <v>6</v>
      </c>
    </row>
    <row r="42">
      <c r="A42" s="9" t="n">
        <v>31</v>
      </c>
      <c r="B42" s="82" t="inlineStr"/>
      <c r="C42" s="82" t="inlineStr"/>
      <c r="D42" s="83" t="inlineStr">
        <is>
          <t>10 quantités supplémentaires</t>
        </is>
      </c>
      <c r="E42" s="9" t="inlineStr">
        <is>
          <t>QP</t>
        </is>
      </c>
      <c r="F42" s="9" t="inlineStr">
        <is>
          <t>10 quantités supplémentaires</t>
        </is>
      </c>
      <c r="G42" s="9" t="n">
        <v>5</v>
      </c>
      <c r="H42" s="10" t="n"/>
      <c r="I42" s="10" t="n"/>
      <c r="J42" s="9">
        <f>G42-I42+H42</f>
        <v/>
      </c>
      <c r="K42" s="213" t="n">
        <v>15</v>
      </c>
      <c r="L42" s="84" t="inlineStr">
        <is>
          <t>quinze euros</t>
        </is>
      </c>
      <c r="M42" s="195">
        <f>ROUND(G42*ROUND(K42,2),2)</f>
        <v/>
      </c>
      <c r="N42" s="196" t="n">
        <v>0.21</v>
      </c>
      <c r="O42" s="197">
        <f>ROUND(N42*ROUND(M42,2),2)</f>
        <v/>
      </c>
      <c r="P42" s="10" t="n"/>
      <c r="Q42" s="9" t="inlineStr">
        <is>
          <t>Non</t>
        </is>
      </c>
      <c r="R42" s="103" t="n">
        <v>6</v>
      </c>
    </row>
    <row r="43" ht="20.4" customFormat="1" customHeight="1" s="71">
      <c r="A43" s="8" t="n"/>
      <c r="B43" s="76" t="inlineStr"/>
      <c r="C43" s="76" t="inlineStr"/>
      <c r="D43" s="77" t="inlineStr">
        <is>
          <t>Impression sur panneau FOREX de 3mm</t>
        </is>
      </c>
      <c r="E43" s="8" t="inlineStr"/>
      <c r="F43" s="8" t="n"/>
      <c r="G43" s="8" t="n"/>
      <c r="H43" s="11" t="n"/>
      <c r="I43" s="11" t="n"/>
      <c r="J43" s="8" t="n"/>
      <c r="K43" s="198" t="n"/>
      <c r="L43" s="78" t="n"/>
      <c r="M43" s="210" t="n"/>
      <c r="N43" s="211" t="n"/>
      <c r="O43" s="212" t="n"/>
      <c r="P43" s="11" t="n"/>
      <c r="Q43" s="8" t="n"/>
      <c r="R43" s="102" t="n"/>
    </row>
    <row r="44">
      <c r="A44" s="9" t="n">
        <v>32</v>
      </c>
      <c r="B44" s="82" t="inlineStr"/>
      <c r="C44" s="82" t="inlineStr"/>
      <c r="D44" s="83" t="inlineStr">
        <is>
          <t>10 cartels</t>
        </is>
      </c>
      <c r="E44" s="9" t="inlineStr">
        <is>
          <t>QP</t>
        </is>
      </c>
      <c r="F44" s="9" t="inlineStr">
        <is>
          <t>10 cartels</t>
        </is>
      </c>
      <c r="G44" s="9" t="n">
        <v>5</v>
      </c>
      <c r="H44" s="10" t="n"/>
      <c r="I44" s="10" t="n"/>
      <c r="J44" s="9">
        <f>G44-I44+H44</f>
        <v/>
      </c>
      <c r="K44" s="213" t="n">
        <v>40</v>
      </c>
      <c r="L44" s="84" t="inlineStr">
        <is>
          <t>quarante euros</t>
        </is>
      </c>
      <c r="M44" s="195">
        <f>ROUND(G44*ROUND(K44,2),2)</f>
        <v/>
      </c>
      <c r="N44" s="196" t="n">
        <v>0.21</v>
      </c>
      <c r="O44" s="197">
        <f>ROUND(N44*ROUND(M44,2),2)</f>
        <v/>
      </c>
      <c r="P44" s="10" t="n"/>
      <c r="Q44" s="9" t="inlineStr">
        <is>
          <t>Non</t>
        </is>
      </c>
      <c r="R44" s="103" t="n">
        <v>6</v>
      </c>
    </row>
    <row r="45">
      <c r="A45" s="9" t="n">
        <v>33</v>
      </c>
      <c r="B45" s="82" t="inlineStr"/>
      <c r="C45" s="82" t="inlineStr"/>
      <c r="D45" s="83" t="inlineStr">
        <is>
          <t>25 cartels</t>
        </is>
      </c>
      <c r="E45" s="9" t="inlineStr">
        <is>
          <t>QP</t>
        </is>
      </c>
      <c r="F45" s="9" t="inlineStr">
        <is>
          <t>25 cartels</t>
        </is>
      </c>
      <c r="G45" s="9" t="n">
        <v>5</v>
      </c>
      <c r="H45" s="10" t="n"/>
      <c r="I45" s="10" t="n"/>
      <c r="J45" s="9">
        <f>G45-I45+H45</f>
        <v/>
      </c>
      <c r="K45" s="213" t="n">
        <v>80</v>
      </c>
      <c r="L45" s="84" t="inlineStr">
        <is>
          <t>quatre-vingts euros</t>
        </is>
      </c>
      <c r="M45" s="195">
        <f>ROUND(G45*ROUND(K45,2),2)</f>
        <v/>
      </c>
      <c r="N45" s="196" t="n">
        <v>0.21</v>
      </c>
      <c r="O45" s="197">
        <f>ROUND(N45*ROUND(M45,2),2)</f>
        <v/>
      </c>
      <c r="P45" s="10" t="n"/>
      <c r="Q45" s="9" t="inlineStr">
        <is>
          <t>Non</t>
        </is>
      </c>
      <c r="R45" s="103" t="n">
        <v>6</v>
      </c>
    </row>
    <row r="46">
      <c r="A46" s="9" t="n">
        <v>34</v>
      </c>
      <c r="B46" s="82" t="inlineStr"/>
      <c r="C46" s="82" t="inlineStr"/>
      <c r="D46" s="83" t="inlineStr">
        <is>
          <t>50 cartels</t>
        </is>
      </c>
      <c r="E46" s="9" t="inlineStr">
        <is>
          <t>QP</t>
        </is>
      </c>
      <c r="F46" s="9" t="inlineStr">
        <is>
          <t>50 cartels</t>
        </is>
      </c>
      <c r="G46" s="9" t="n">
        <v>5</v>
      </c>
      <c r="H46" s="10" t="n"/>
      <c r="I46" s="10" t="n"/>
      <c r="J46" s="9">
        <f>G46-I46+H46</f>
        <v/>
      </c>
      <c r="K46" s="213" t="n">
        <v>135</v>
      </c>
      <c r="L46" s="84" t="inlineStr">
        <is>
          <t>cent trente-cinq euros</t>
        </is>
      </c>
      <c r="M46" s="195">
        <f>ROUND(G46*ROUND(K46,2),2)</f>
        <v/>
      </c>
      <c r="N46" s="196" t="n">
        <v>0.21</v>
      </c>
      <c r="O46" s="197">
        <f>ROUND(N46*ROUND(M46,2),2)</f>
        <v/>
      </c>
      <c r="P46" s="10" t="n"/>
      <c r="Q46" s="9" t="inlineStr">
        <is>
          <t>Non</t>
        </is>
      </c>
      <c r="R46" s="103" t="n">
        <v>6</v>
      </c>
    </row>
    <row r="47">
      <c r="A47" s="9" t="n">
        <v>35</v>
      </c>
      <c r="B47" s="82" t="inlineStr"/>
      <c r="C47" s="82" t="inlineStr"/>
      <c r="D47" s="83" t="inlineStr">
        <is>
          <t>100 cartels</t>
        </is>
      </c>
      <c r="E47" s="9" t="inlineStr">
        <is>
          <t>QP</t>
        </is>
      </c>
      <c r="F47" s="9" t="inlineStr">
        <is>
          <t>100 cartels</t>
        </is>
      </c>
      <c r="G47" s="9" t="n">
        <v>5</v>
      </c>
      <c r="H47" s="10" t="n"/>
      <c r="I47" s="10" t="n"/>
      <c r="J47" s="9">
        <f>G47-I47+H47</f>
        <v/>
      </c>
      <c r="K47" s="213" t="n">
        <v>240</v>
      </c>
      <c r="L47" s="84" t="inlineStr">
        <is>
          <t>deux cent quarante euros</t>
        </is>
      </c>
      <c r="M47" s="195">
        <f>ROUND(G47*ROUND(K47,2),2)</f>
        <v/>
      </c>
      <c r="N47" s="196" t="n">
        <v>0.21</v>
      </c>
      <c r="O47" s="197">
        <f>ROUND(N47*ROUND(M47,2),2)</f>
        <v/>
      </c>
      <c r="P47" s="10" t="n"/>
      <c r="Q47" s="9" t="inlineStr">
        <is>
          <t>Non</t>
        </is>
      </c>
      <c r="R47" s="103" t="n">
        <v>6</v>
      </c>
    </row>
    <row r="48">
      <c r="A48" s="9" t="n">
        <v>36</v>
      </c>
      <c r="B48" s="82" t="inlineStr"/>
      <c r="C48" s="82" t="inlineStr"/>
      <c r="D48" s="83" t="inlineStr">
        <is>
          <t>150 cartels</t>
        </is>
      </c>
      <c r="E48" s="9" t="inlineStr">
        <is>
          <t>QP</t>
        </is>
      </c>
      <c r="F48" s="9" t="inlineStr">
        <is>
          <t>150 cartels</t>
        </is>
      </c>
      <c r="G48" s="9" t="n">
        <v>5</v>
      </c>
      <c r="H48" s="10" t="n"/>
      <c r="I48" s="10" t="n"/>
      <c r="J48" s="9">
        <f>G48-I48+H48</f>
        <v/>
      </c>
      <c r="K48" s="213" t="n">
        <v>330</v>
      </c>
      <c r="L48" s="84" t="inlineStr">
        <is>
          <t>trois cent trente euros</t>
        </is>
      </c>
      <c r="M48" s="195">
        <f>ROUND(G48*ROUND(K48,2),2)</f>
        <v/>
      </c>
      <c r="N48" s="196" t="n">
        <v>0.21</v>
      </c>
      <c r="O48" s="197">
        <f>ROUND(N48*ROUND(M48,2),2)</f>
        <v/>
      </c>
      <c r="P48" s="10" t="n"/>
      <c r="Q48" s="9" t="inlineStr">
        <is>
          <t>Non</t>
        </is>
      </c>
      <c r="R48" s="103" t="n">
        <v>6</v>
      </c>
    </row>
    <row r="49">
      <c r="A49" s="9" t="n">
        <v>37</v>
      </c>
      <c r="B49" s="82" t="inlineStr"/>
      <c r="C49" s="82" t="inlineStr"/>
      <c r="D49" s="83" t="inlineStr">
        <is>
          <t>200 cartels</t>
        </is>
      </c>
      <c r="E49" s="9" t="inlineStr">
        <is>
          <t>QP</t>
        </is>
      </c>
      <c r="F49" s="9" t="inlineStr">
        <is>
          <t>200 cartels</t>
        </is>
      </c>
      <c r="G49" s="9" t="n">
        <v>5</v>
      </c>
      <c r="H49" s="10" t="n"/>
      <c r="I49" s="10" t="n"/>
      <c r="J49" s="9">
        <f>G49-I49+H49</f>
        <v/>
      </c>
      <c r="K49" s="213" t="n">
        <v>410</v>
      </c>
      <c r="L49" s="84" t="inlineStr">
        <is>
          <t>quatre cent dix euros</t>
        </is>
      </c>
      <c r="M49" s="195">
        <f>ROUND(G49*ROUND(K49,2),2)</f>
        <v/>
      </c>
      <c r="N49" s="196" t="n">
        <v>0.21</v>
      </c>
      <c r="O49" s="197">
        <f>ROUND(N49*ROUND(M49,2),2)</f>
        <v/>
      </c>
      <c r="P49" s="10" t="n"/>
      <c r="Q49" s="9" t="inlineStr">
        <is>
          <t>Non</t>
        </is>
      </c>
      <c r="R49" s="103" t="n">
        <v>6</v>
      </c>
    </row>
    <row r="50">
      <c r="A50" s="9" t="n">
        <v>38</v>
      </c>
      <c r="B50" s="82" t="inlineStr"/>
      <c r="C50" s="82" t="inlineStr"/>
      <c r="D50" s="83" t="inlineStr">
        <is>
          <t>10 quantités supplémentaires</t>
        </is>
      </c>
      <c r="E50" s="9" t="inlineStr">
        <is>
          <t>QP</t>
        </is>
      </c>
      <c r="F50" s="9" t="inlineStr">
        <is>
          <t>10 quantités supplémentaires</t>
        </is>
      </c>
      <c r="G50" s="9" t="n">
        <v>5</v>
      </c>
      <c r="H50" s="10" t="n"/>
      <c r="I50" s="10" t="n"/>
      <c r="J50" s="9">
        <f>G50-I50+H50</f>
        <v/>
      </c>
      <c r="K50" s="213" t="n">
        <v>17</v>
      </c>
      <c r="L50" s="84" t="inlineStr">
        <is>
          <t>dix-sept euros</t>
        </is>
      </c>
      <c r="M50" s="195">
        <f>ROUND(G50*ROUND(K50,2),2)</f>
        <v/>
      </c>
      <c r="N50" s="196" t="n">
        <v>0.21</v>
      </c>
      <c r="O50" s="197">
        <f>ROUND(N50*ROUND(M50,2),2)</f>
        <v/>
      </c>
      <c r="P50" s="10" t="n"/>
      <c r="Q50" s="9" t="inlineStr">
        <is>
          <t>Non</t>
        </is>
      </c>
      <c r="R50" s="103" t="n">
        <v>6</v>
      </c>
    </row>
    <row r="51" ht="20.4" customFormat="1" customHeight="1" s="71">
      <c r="A51" s="8" t="n"/>
      <c r="B51" s="76" t="inlineStr"/>
      <c r="C51" s="76" t="inlineStr"/>
      <c r="D51" s="77" t="inlineStr">
        <is>
          <t>Impression sur panneau FOREX de 5mm</t>
        </is>
      </c>
      <c r="E51" s="8" t="inlineStr"/>
      <c r="F51" s="8" t="n"/>
      <c r="G51" s="8" t="n"/>
      <c r="H51" s="11" t="n"/>
      <c r="I51" s="11" t="n"/>
      <c r="J51" s="8" t="n"/>
      <c r="K51" s="198" t="n"/>
      <c r="L51" s="78" t="n"/>
      <c r="M51" s="210" t="n"/>
      <c r="N51" s="211" t="n"/>
      <c r="O51" s="212" t="n"/>
      <c r="P51" s="11" t="n"/>
      <c r="Q51" s="8" t="n"/>
      <c r="R51" s="102" t="n"/>
    </row>
    <row r="52">
      <c r="A52" s="9" t="n">
        <v>39</v>
      </c>
      <c r="B52" s="82" t="inlineStr"/>
      <c r="C52" s="82" t="inlineStr"/>
      <c r="D52" s="83" t="inlineStr">
        <is>
          <t>10 cartels</t>
        </is>
      </c>
      <c r="E52" s="9" t="inlineStr">
        <is>
          <t>QP</t>
        </is>
      </c>
      <c r="F52" s="9" t="inlineStr">
        <is>
          <t>10 cartels</t>
        </is>
      </c>
      <c r="G52" s="9" t="n">
        <v>5</v>
      </c>
      <c r="H52" s="10" t="n"/>
      <c r="I52" s="10" t="n"/>
      <c r="J52" s="9">
        <f>G52-I52+H52</f>
        <v/>
      </c>
      <c r="K52" s="213" t="n">
        <v>48</v>
      </c>
      <c r="L52" s="84" t="inlineStr">
        <is>
          <t>quarante-huit euros</t>
        </is>
      </c>
      <c r="M52" s="195">
        <f>ROUND(G52*ROUND(K52,2),2)</f>
        <v/>
      </c>
      <c r="N52" s="196" t="n">
        <v>0.21</v>
      </c>
      <c r="O52" s="197">
        <f>ROUND(N52*ROUND(M52,2),2)</f>
        <v/>
      </c>
      <c r="P52" s="10" t="n"/>
      <c r="Q52" s="9" t="inlineStr">
        <is>
          <t>Non</t>
        </is>
      </c>
      <c r="R52" s="103" t="n">
        <v>6</v>
      </c>
    </row>
    <row r="53">
      <c r="A53" s="9" t="n">
        <v>40</v>
      </c>
      <c r="B53" s="82" t="inlineStr"/>
      <c r="C53" s="82" t="inlineStr"/>
      <c r="D53" s="83" t="inlineStr">
        <is>
          <t>25 cartels</t>
        </is>
      </c>
      <c r="E53" s="9" t="inlineStr">
        <is>
          <t>QP</t>
        </is>
      </c>
      <c r="F53" s="9" t="inlineStr">
        <is>
          <t>25 cartels</t>
        </is>
      </c>
      <c r="G53" s="9" t="n">
        <v>5</v>
      </c>
      <c r="H53" s="10" t="n"/>
      <c r="I53" s="10" t="n"/>
      <c r="J53" s="9">
        <f>G53-I53+H53</f>
        <v/>
      </c>
      <c r="K53" s="213" t="n">
        <v>95</v>
      </c>
      <c r="L53" s="84" t="inlineStr">
        <is>
          <t>quatre-vingt-quinze euros</t>
        </is>
      </c>
      <c r="M53" s="195">
        <f>ROUND(G53*ROUND(K53,2),2)</f>
        <v/>
      </c>
      <c r="N53" s="196" t="n">
        <v>0.21</v>
      </c>
      <c r="O53" s="197">
        <f>ROUND(N53*ROUND(M53,2),2)</f>
        <v/>
      </c>
      <c r="P53" s="10" t="n"/>
      <c r="Q53" s="9" t="inlineStr">
        <is>
          <t>Non</t>
        </is>
      </c>
      <c r="R53" s="103" t="n">
        <v>6</v>
      </c>
    </row>
    <row r="54">
      <c r="A54" s="9" t="n">
        <v>41</v>
      </c>
      <c r="B54" s="82" t="inlineStr"/>
      <c r="C54" s="82" t="inlineStr"/>
      <c r="D54" s="83" t="inlineStr">
        <is>
          <t>50 cartels</t>
        </is>
      </c>
      <c r="E54" s="9" t="inlineStr">
        <is>
          <t>QP</t>
        </is>
      </c>
      <c r="F54" s="9" t="inlineStr">
        <is>
          <t>50 cartels</t>
        </is>
      </c>
      <c r="G54" s="9" t="n">
        <v>5</v>
      </c>
      <c r="H54" s="10" t="n"/>
      <c r="I54" s="10" t="n"/>
      <c r="J54" s="9">
        <f>G54-I54+H54</f>
        <v/>
      </c>
      <c r="K54" s="213" t="n">
        <v>165</v>
      </c>
      <c r="L54" s="84" t="inlineStr">
        <is>
          <t>cent soixante-cinq euros</t>
        </is>
      </c>
      <c r="M54" s="195">
        <f>ROUND(G54*ROUND(K54,2),2)</f>
        <v/>
      </c>
      <c r="N54" s="196" t="n">
        <v>0.21</v>
      </c>
      <c r="O54" s="197">
        <f>ROUND(N54*ROUND(M54,2),2)</f>
        <v/>
      </c>
      <c r="P54" s="10" t="n"/>
      <c r="Q54" s="9" t="inlineStr">
        <is>
          <t>Non</t>
        </is>
      </c>
      <c r="R54" s="103" t="n">
        <v>6</v>
      </c>
    </row>
    <row r="55">
      <c r="A55" s="9" t="n">
        <v>42</v>
      </c>
      <c r="B55" s="82" t="inlineStr"/>
      <c r="C55" s="82" t="inlineStr"/>
      <c r="D55" s="83" t="inlineStr">
        <is>
          <t>100 cartels</t>
        </is>
      </c>
      <c r="E55" s="9" t="inlineStr">
        <is>
          <t>QP</t>
        </is>
      </c>
      <c r="F55" s="9" t="inlineStr">
        <is>
          <t>100 cartels</t>
        </is>
      </c>
      <c r="G55" s="9" t="n">
        <v>5</v>
      </c>
      <c r="H55" s="10" t="n"/>
      <c r="I55" s="10" t="n"/>
      <c r="J55" s="9">
        <f>G55-I55+H55</f>
        <v/>
      </c>
      <c r="K55" s="213" t="n">
        <v>290</v>
      </c>
      <c r="L55" s="84" t="inlineStr">
        <is>
          <t>deux cent quatre-vingt-dix euros</t>
        </is>
      </c>
      <c r="M55" s="195">
        <f>ROUND(G55*ROUND(K55,2),2)</f>
        <v/>
      </c>
      <c r="N55" s="196" t="n">
        <v>0.21</v>
      </c>
      <c r="O55" s="197">
        <f>ROUND(N55*ROUND(M55,2),2)</f>
        <v/>
      </c>
      <c r="P55" s="10" t="n"/>
      <c r="Q55" s="9" t="inlineStr">
        <is>
          <t>Non</t>
        </is>
      </c>
      <c r="R55" s="103" t="n">
        <v>6</v>
      </c>
    </row>
    <row r="56">
      <c r="A56" s="9" t="n">
        <v>43</v>
      </c>
      <c r="B56" s="82" t="inlineStr"/>
      <c r="C56" s="82" t="inlineStr"/>
      <c r="D56" s="83" t="inlineStr">
        <is>
          <t>150 cartels</t>
        </is>
      </c>
      <c r="E56" s="9" t="inlineStr">
        <is>
          <t>QP</t>
        </is>
      </c>
      <c r="F56" s="9" t="inlineStr">
        <is>
          <t>150 cartels</t>
        </is>
      </c>
      <c r="G56" s="9" t="n">
        <v>5</v>
      </c>
      <c r="H56" s="10" t="n"/>
      <c r="I56" s="10" t="n"/>
      <c r="J56" s="9">
        <f>G56-I56+H56</f>
        <v/>
      </c>
      <c r="K56" s="213" t="n">
        <v>400</v>
      </c>
      <c r="L56" s="84" t="inlineStr">
        <is>
          <t>quatre cents euros</t>
        </is>
      </c>
      <c r="M56" s="195">
        <f>ROUND(G56*ROUND(K56,2),2)</f>
        <v/>
      </c>
      <c r="N56" s="196" t="n">
        <v>0.21</v>
      </c>
      <c r="O56" s="197">
        <f>ROUND(N56*ROUND(M56,2),2)</f>
        <v/>
      </c>
      <c r="P56" s="10" t="n"/>
      <c r="Q56" s="9" t="inlineStr">
        <is>
          <t>Non</t>
        </is>
      </c>
      <c r="R56" s="103" t="n">
        <v>6</v>
      </c>
    </row>
    <row r="57">
      <c r="A57" s="9" t="n">
        <v>44</v>
      </c>
      <c r="B57" s="82" t="inlineStr"/>
      <c r="C57" s="82" t="inlineStr"/>
      <c r="D57" s="83" t="inlineStr">
        <is>
          <t>200 cartels</t>
        </is>
      </c>
      <c r="E57" s="9" t="inlineStr">
        <is>
          <t>QP</t>
        </is>
      </c>
      <c r="F57" s="9" t="inlineStr">
        <is>
          <t>200 cartels</t>
        </is>
      </c>
      <c r="G57" s="9" t="n">
        <v>5</v>
      </c>
      <c r="H57" s="10" t="n"/>
      <c r="I57" s="10" t="n"/>
      <c r="J57" s="9">
        <f>G57-I57+H57</f>
        <v/>
      </c>
      <c r="K57" s="213" t="n">
        <v>500</v>
      </c>
      <c r="L57" s="84" t="inlineStr">
        <is>
          <t>cinq cents euros</t>
        </is>
      </c>
      <c r="M57" s="195">
        <f>ROUND(G57*ROUND(K57,2),2)</f>
        <v/>
      </c>
      <c r="N57" s="196" t="n">
        <v>0.21</v>
      </c>
      <c r="O57" s="197">
        <f>ROUND(N57*ROUND(M57,2),2)</f>
        <v/>
      </c>
      <c r="P57" s="10" t="n"/>
      <c r="Q57" s="9" t="inlineStr">
        <is>
          <t>Non</t>
        </is>
      </c>
      <c r="R57" s="103" t="n">
        <v>6</v>
      </c>
    </row>
    <row r="58">
      <c r="A58" s="9" t="n">
        <v>45</v>
      </c>
      <c r="B58" s="82" t="inlineStr"/>
      <c r="C58" s="82" t="inlineStr"/>
      <c r="D58" s="83" t="inlineStr">
        <is>
          <t>10 quantités supplémentaires</t>
        </is>
      </c>
      <c r="E58" s="9" t="inlineStr">
        <is>
          <t>QP</t>
        </is>
      </c>
      <c r="F58" s="9" t="inlineStr">
        <is>
          <t>10 quantités supplémentaires</t>
        </is>
      </c>
      <c r="G58" s="9" t="n">
        <v>5</v>
      </c>
      <c r="H58" s="10" t="n"/>
      <c r="I58" s="10" t="n"/>
      <c r="J58" s="9">
        <f>G58-I58+H58</f>
        <v/>
      </c>
      <c r="K58" s="213" t="n">
        <v>21</v>
      </c>
      <c r="L58" s="84" t="inlineStr">
        <is>
          <t>vingt et un euros</t>
        </is>
      </c>
      <c r="M58" s="195">
        <f>ROUND(G58*ROUND(K58,2),2)</f>
        <v/>
      </c>
      <c r="N58" s="196" t="n">
        <v>0.21</v>
      </c>
      <c r="O58" s="197">
        <f>ROUND(N58*ROUND(M58,2),2)</f>
        <v/>
      </c>
      <c r="P58" s="10" t="n"/>
      <c r="Q58" s="9" t="inlineStr">
        <is>
          <t>Non</t>
        </is>
      </c>
      <c r="R58" s="103" t="n">
        <v>6</v>
      </c>
    </row>
    <row r="59" ht="13.2" customFormat="1" customHeight="1" s="71">
      <c r="A59" s="8" t="n"/>
      <c r="B59" s="76" t="inlineStr"/>
      <c r="C59" s="76" t="inlineStr"/>
      <c r="D59" s="77" t="inlineStr">
        <is>
          <t>SUPPORT PLEXI</t>
        </is>
      </c>
      <c r="E59" s="8" t="inlineStr"/>
      <c r="F59" s="8" t="n"/>
      <c r="G59" s="8" t="n"/>
      <c r="H59" s="11" t="n"/>
      <c r="I59" s="11" t="n"/>
      <c r="J59" s="8" t="n"/>
      <c r="K59" s="198" t="n"/>
      <c r="L59" s="78" t="n"/>
      <c r="M59" s="210" t="n"/>
      <c r="N59" s="211" t="n"/>
      <c r="O59" s="212" t="n"/>
      <c r="P59" s="11" t="n"/>
      <c r="Q59" s="8" t="n"/>
      <c r="R59" s="102" t="n"/>
    </row>
    <row r="60" ht="20.4" customFormat="1" customHeight="1" s="71">
      <c r="A60" s="8" t="n"/>
      <c r="B60" s="76" t="inlineStr"/>
      <c r="C60" s="76" t="inlineStr"/>
      <c r="D60" s="77" t="inlineStr">
        <is>
          <t>Impression quadrichromie sur PLEXI mat opalin 2mm</t>
        </is>
      </c>
      <c r="E60" s="8" t="inlineStr"/>
      <c r="F60" s="8" t="n"/>
      <c r="G60" s="8" t="n"/>
      <c r="H60" s="11" t="n"/>
      <c r="I60" s="11" t="n"/>
      <c r="J60" s="8" t="n"/>
      <c r="K60" s="198" t="n"/>
      <c r="L60" s="78" t="n"/>
      <c r="M60" s="210" t="n"/>
      <c r="N60" s="211" t="n"/>
      <c r="O60" s="212" t="n"/>
      <c r="P60" s="11" t="n"/>
      <c r="Q60" s="8" t="n"/>
      <c r="R60" s="102" t="n"/>
    </row>
    <row r="61">
      <c r="A61" s="9" t="n">
        <v>46</v>
      </c>
      <c r="B61" s="82" t="inlineStr"/>
      <c r="C61" s="82" t="inlineStr"/>
      <c r="D61" s="83" t="inlineStr">
        <is>
          <t>&gt;= A2 et &lt;= 1 m²</t>
        </is>
      </c>
      <c r="E61" s="9" t="inlineStr">
        <is>
          <t>QP</t>
        </is>
      </c>
      <c r="F61" s="9" t="inlineStr">
        <is>
          <t>m²</t>
        </is>
      </c>
      <c r="G61" s="9" t="n">
        <v>5</v>
      </c>
      <c r="H61" s="10" t="n"/>
      <c r="I61" s="10" t="n"/>
      <c r="J61" s="9">
        <f>G61-I61+H61</f>
        <v/>
      </c>
      <c r="K61" s="213" t="n">
        <v>140</v>
      </c>
      <c r="L61" s="84" t="inlineStr">
        <is>
          <t>cent quarante euros</t>
        </is>
      </c>
      <c r="M61" s="195">
        <f>ROUND(G61*ROUND(K61,2),2)</f>
        <v/>
      </c>
      <c r="N61" s="196" t="n">
        <v>0.21</v>
      </c>
      <c r="O61" s="197">
        <f>ROUND(N61*ROUND(M61,2),2)</f>
        <v/>
      </c>
      <c r="P61" s="10" t="n"/>
      <c r="Q61" s="9" t="inlineStr">
        <is>
          <t>Non</t>
        </is>
      </c>
      <c r="R61" s="103" t="n">
        <v>6</v>
      </c>
    </row>
    <row r="62">
      <c r="A62" s="9" t="n">
        <v>47</v>
      </c>
      <c r="B62" s="82" t="inlineStr"/>
      <c r="C62" s="82" t="inlineStr"/>
      <c r="D62" s="83" t="inlineStr">
        <is>
          <t>&gt; 1 m² et &lt;= 2 m²</t>
        </is>
      </c>
      <c r="E62" s="9" t="inlineStr">
        <is>
          <t>QP</t>
        </is>
      </c>
      <c r="F62" s="9" t="inlineStr">
        <is>
          <t>m²</t>
        </is>
      </c>
      <c r="G62" s="9" t="n">
        <v>5</v>
      </c>
      <c r="H62" s="10" t="n"/>
      <c r="I62" s="10" t="n"/>
      <c r="J62" s="9">
        <f>G62-I62+H62</f>
        <v/>
      </c>
      <c r="K62" s="213" t="n">
        <v>125</v>
      </c>
      <c r="L62" s="84" t="inlineStr">
        <is>
          <t>cent vingt-cinq euros</t>
        </is>
      </c>
      <c r="M62" s="195">
        <f>ROUND(G62*ROUND(K62,2),2)</f>
        <v/>
      </c>
      <c r="N62" s="196" t="n">
        <v>0.21</v>
      </c>
      <c r="O62" s="197">
        <f>ROUND(N62*ROUND(M62,2),2)</f>
        <v/>
      </c>
      <c r="P62" s="10" t="n"/>
      <c r="Q62" s="9" t="inlineStr">
        <is>
          <t>Non</t>
        </is>
      </c>
      <c r="R62" s="103" t="n">
        <v>6</v>
      </c>
    </row>
    <row r="63">
      <c r="A63" s="9" t="n">
        <v>48</v>
      </c>
      <c r="B63" s="82" t="inlineStr"/>
      <c r="C63" s="82" t="inlineStr"/>
      <c r="D63" s="83" t="inlineStr">
        <is>
          <t>&gt; 2 m² et &lt;= 5 m²</t>
        </is>
      </c>
      <c r="E63" s="9" t="inlineStr">
        <is>
          <t>QP</t>
        </is>
      </c>
      <c r="F63" s="9" t="inlineStr">
        <is>
          <t>m²</t>
        </is>
      </c>
      <c r="G63" s="9" t="n">
        <v>5</v>
      </c>
      <c r="H63" s="10" t="n"/>
      <c r="I63" s="10" t="n"/>
      <c r="J63" s="9">
        <f>G63-I63+H63</f>
        <v/>
      </c>
      <c r="K63" s="213" t="n">
        <v>115</v>
      </c>
      <c r="L63" s="84" t="inlineStr">
        <is>
          <t>cent quinze euros</t>
        </is>
      </c>
      <c r="M63" s="195">
        <f>ROUND(G63*ROUND(K63,2),2)</f>
        <v/>
      </c>
      <c r="N63" s="196" t="n">
        <v>0.21</v>
      </c>
      <c r="O63" s="197">
        <f>ROUND(N63*ROUND(M63,2),2)</f>
        <v/>
      </c>
      <c r="P63" s="10" t="n"/>
      <c r="Q63" s="9" t="inlineStr">
        <is>
          <t>Non</t>
        </is>
      </c>
      <c r="R63" s="103" t="n">
        <v>6</v>
      </c>
    </row>
    <row r="64">
      <c r="A64" s="9" t="n">
        <v>49</v>
      </c>
      <c r="B64" s="82" t="inlineStr"/>
      <c r="C64" s="82" t="inlineStr"/>
      <c r="D64" s="83" t="inlineStr">
        <is>
          <t>&gt; 5 m² et &lt;= 10 m²</t>
        </is>
      </c>
      <c r="E64" s="9" t="inlineStr">
        <is>
          <t>QP</t>
        </is>
      </c>
      <c r="F64" s="9" t="inlineStr">
        <is>
          <t>m²</t>
        </is>
      </c>
      <c r="G64" s="9" t="n">
        <v>5</v>
      </c>
      <c r="H64" s="10" t="n"/>
      <c r="I64" s="10" t="n"/>
      <c r="J64" s="9">
        <f>G64-I64+H64</f>
        <v/>
      </c>
      <c r="K64" s="213" t="n">
        <v>105</v>
      </c>
      <c r="L64" s="84" t="inlineStr">
        <is>
          <t>cent cinq euros</t>
        </is>
      </c>
      <c r="M64" s="195">
        <f>ROUND(G64*ROUND(K64,2),2)</f>
        <v/>
      </c>
      <c r="N64" s="196" t="n">
        <v>0.21</v>
      </c>
      <c r="O64" s="197">
        <f>ROUND(N64*ROUND(M64,2),2)</f>
        <v/>
      </c>
      <c r="P64" s="10" t="n"/>
      <c r="Q64" s="9" t="inlineStr">
        <is>
          <t>Non</t>
        </is>
      </c>
      <c r="R64" s="103" t="n">
        <v>6</v>
      </c>
    </row>
    <row r="65">
      <c r="A65" s="9" t="n">
        <v>50</v>
      </c>
      <c r="B65" s="82" t="inlineStr"/>
      <c r="C65" s="82" t="inlineStr"/>
      <c r="D65" s="83" t="inlineStr">
        <is>
          <t>&gt; 10 m² et &lt;= 25 m²</t>
        </is>
      </c>
      <c r="E65" s="9" t="inlineStr">
        <is>
          <t>QP</t>
        </is>
      </c>
      <c r="F65" s="9" t="inlineStr">
        <is>
          <t>m²</t>
        </is>
      </c>
      <c r="G65" s="9" t="n">
        <v>5</v>
      </c>
      <c r="H65" s="10" t="n"/>
      <c r="I65" s="10" t="n"/>
      <c r="J65" s="9">
        <f>G65-I65+H65</f>
        <v/>
      </c>
      <c r="K65" s="213" t="n">
        <v>95</v>
      </c>
      <c r="L65" s="84" t="inlineStr">
        <is>
          <t>quatre-vingt-quinze euros</t>
        </is>
      </c>
      <c r="M65" s="195">
        <f>ROUND(G65*ROUND(K65,2),2)</f>
        <v/>
      </c>
      <c r="N65" s="196" t="n">
        <v>0.21</v>
      </c>
      <c r="O65" s="197">
        <f>ROUND(N65*ROUND(M65,2),2)</f>
        <v/>
      </c>
      <c r="P65" s="10" t="n"/>
      <c r="Q65" s="9" t="inlineStr">
        <is>
          <t>Non</t>
        </is>
      </c>
      <c r="R65" s="103" t="n">
        <v>6</v>
      </c>
    </row>
    <row r="66">
      <c r="A66" s="9" t="n">
        <v>51</v>
      </c>
      <c r="B66" s="82" t="inlineStr"/>
      <c r="C66" s="82" t="inlineStr"/>
      <c r="D66" s="83" t="inlineStr">
        <is>
          <t>&gt; 25 m²</t>
        </is>
      </c>
      <c r="E66" s="9" t="inlineStr">
        <is>
          <t>QP</t>
        </is>
      </c>
      <c r="F66" s="9" t="inlineStr">
        <is>
          <t>m²</t>
        </is>
      </c>
      <c r="G66" s="9" t="n">
        <v>5</v>
      </c>
      <c r="H66" s="10" t="n"/>
      <c r="I66" s="10" t="n"/>
      <c r="J66" s="9">
        <f>G66-I66+H66</f>
        <v/>
      </c>
      <c r="K66" s="213" t="n">
        <v>90</v>
      </c>
      <c r="L66" s="84" t="inlineStr">
        <is>
          <t>quatre-vingt-dix euros</t>
        </is>
      </c>
      <c r="M66" s="195">
        <f>ROUND(G66*ROUND(K66,2),2)</f>
        <v/>
      </c>
      <c r="N66" s="196" t="n">
        <v>0.21</v>
      </c>
      <c r="O66" s="197">
        <f>ROUND(N66*ROUND(M66,2),2)</f>
        <v/>
      </c>
      <c r="P66" s="10" t="n"/>
      <c r="Q66" s="9" t="inlineStr">
        <is>
          <t>Non</t>
        </is>
      </c>
      <c r="R66" s="103" t="n">
        <v>6</v>
      </c>
    </row>
    <row r="67" ht="20.4" customFormat="1" customHeight="1" s="71">
      <c r="A67" s="8" t="n"/>
      <c r="B67" s="76" t="inlineStr"/>
      <c r="C67" s="76" t="inlineStr"/>
      <c r="D67" s="77" t="inlineStr">
        <is>
          <t>Impression quadrichromie sur PLEXI mat opalin 3mm</t>
        </is>
      </c>
      <c r="E67" s="8" t="inlineStr"/>
      <c r="F67" s="8" t="n"/>
      <c r="G67" s="8" t="n"/>
      <c r="H67" s="11" t="n"/>
      <c r="I67" s="11" t="n"/>
      <c r="J67" s="8" t="n"/>
      <c r="K67" s="198" t="n"/>
      <c r="L67" s="78" t="n"/>
      <c r="M67" s="210" t="n"/>
      <c r="N67" s="211" t="n"/>
      <c r="O67" s="212" t="n"/>
      <c r="P67" s="11" t="n"/>
      <c r="Q67" s="8" t="n"/>
      <c r="R67" s="102" t="n"/>
    </row>
    <row r="68">
      <c r="A68" s="9" t="n">
        <v>52</v>
      </c>
      <c r="B68" s="82" t="inlineStr"/>
      <c r="C68" s="82" t="inlineStr"/>
      <c r="D68" s="83" t="inlineStr">
        <is>
          <t>&gt;= A2 et &lt;= 1 m²</t>
        </is>
      </c>
      <c r="E68" s="9" t="inlineStr">
        <is>
          <t>QP</t>
        </is>
      </c>
      <c r="F68" s="9" t="inlineStr">
        <is>
          <t>m²</t>
        </is>
      </c>
      <c r="G68" s="9" t="n">
        <v>5</v>
      </c>
      <c r="H68" s="10" t="n"/>
      <c r="I68" s="10" t="n"/>
      <c r="J68" s="9">
        <f>G68-I68+H68</f>
        <v/>
      </c>
      <c r="K68" s="213" t="n">
        <v>155</v>
      </c>
      <c r="L68" s="84" t="inlineStr">
        <is>
          <t>cent cinquante-cinq euros</t>
        </is>
      </c>
      <c r="M68" s="195">
        <f>ROUND(G68*ROUND(K68,2),2)</f>
        <v/>
      </c>
      <c r="N68" s="196" t="n">
        <v>0.21</v>
      </c>
      <c r="O68" s="197">
        <f>ROUND(N68*ROUND(M68,2),2)</f>
        <v/>
      </c>
      <c r="P68" s="10" t="n"/>
      <c r="Q68" s="9" t="inlineStr">
        <is>
          <t>Non</t>
        </is>
      </c>
      <c r="R68" s="103" t="n">
        <v>6</v>
      </c>
    </row>
    <row r="69">
      <c r="A69" s="9" t="n">
        <v>53</v>
      </c>
      <c r="B69" s="82" t="inlineStr"/>
      <c r="C69" s="82" t="inlineStr"/>
      <c r="D69" s="83" t="inlineStr">
        <is>
          <t>&gt; 1 m² et &lt;= 2 m²</t>
        </is>
      </c>
      <c r="E69" s="9" t="inlineStr">
        <is>
          <t>QP</t>
        </is>
      </c>
      <c r="F69" s="9" t="inlineStr">
        <is>
          <t>m²</t>
        </is>
      </c>
      <c r="G69" s="9" t="n">
        <v>5</v>
      </c>
      <c r="H69" s="10" t="n"/>
      <c r="I69" s="10" t="n"/>
      <c r="J69" s="9">
        <f>G69-I69+H69</f>
        <v/>
      </c>
      <c r="K69" s="213" t="n">
        <v>138</v>
      </c>
      <c r="L69" s="84" t="inlineStr">
        <is>
          <t>cent trente-huit euros</t>
        </is>
      </c>
      <c r="M69" s="195">
        <f>ROUND(G69*ROUND(K69,2),2)</f>
        <v/>
      </c>
      <c r="N69" s="196" t="n">
        <v>0.21</v>
      </c>
      <c r="O69" s="197">
        <f>ROUND(N69*ROUND(M69,2),2)</f>
        <v/>
      </c>
      <c r="P69" s="10" t="n"/>
      <c r="Q69" s="9" t="inlineStr">
        <is>
          <t>Non</t>
        </is>
      </c>
      <c r="R69" s="103" t="n">
        <v>6</v>
      </c>
    </row>
    <row r="70">
      <c r="A70" s="9" t="n">
        <v>54</v>
      </c>
      <c r="B70" s="82" t="inlineStr"/>
      <c r="C70" s="82" t="inlineStr"/>
      <c r="D70" s="83" t="inlineStr">
        <is>
          <t>&gt; 2 m² et &lt;= 5 m²</t>
        </is>
      </c>
      <c r="E70" s="9" t="inlineStr">
        <is>
          <t>QP</t>
        </is>
      </c>
      <c r="F70" s="9" t="inlineStr">
        <is>
          <t>m²</t>
        </is>
      </c>
      <c r="G70" s="9" t="n">
        <v>5</v>
      </c>
      <c r="H70" s="10" t="n"/>
      <c r="I70" s="10" t="n"/>
      <c r="J70" s="9">
        <f>G70-I70+H70</f>
        <v/>
      </c>
      <c r="K70" s="213" t="n">
        <v>126</v>
      </c>
      <c r="L70" s="84" t="inlineStr">
        <is>
          <t>cent vingt-six euros</t>
        </is>
      </c>
      <c r="M70" s="195">
        <f>ROUND(G70*ROUND(K70,2),2)</f>
        <v/>
      </c>
      <c r="N70" s="196" t="n">
        <v>0.21</v>
      </c>
      <c r="O70" s="197">
        <f>ROUND(N70*ROUND(M70,2),2)</f>
        <v/>
      </c>
      <c r="P70" s="10" t="n"/>
      <c r="Q70" s="9" t="inlineStr">
        <is>
          <t>Non</t>
        </is>
      </c>
      <c r="R70" s="103" t="n">
        <v>6</v>
      </c>
    </row>
    <row r="71">
      <c r="A71" s="9" t="n">
        <v>55</v>
      </c>
      <c r="B71" s="82" t="inlineStr"/>
      <c r="C71" s="82" t="inlineStr"/>
      <c r="D71" s="83" t="inlineStr">
        <is>
          <t>&gt; 5 m² et &lt;= 10 m²</t>
        </is>
      </c>
      <c r="E71" s="9" t="inlineStr">
        <is>
          <t>QP</t>
        </is>
      </c>
      <c r="F71" s="9" t="inlineStr">
        <is>
          <t>m²</t>
        </is>
      </c>
      <c r="G71" s="9" t="n">
        <v>5</v>
      </c>
      <c r="H71" s="10" t="n"/>
      <c r="I71" s="10" t="n"/>
      <c r="J71" s="9">
        <f>G71-I71+H71</f>
        <v/>
      </c>
      <c r="K71" s="213" t="n">
        <v>115</v>
      </c>
      <c r="L71" s="84" t="inlineStr">
        <is>
          <t>cent quinze euros</t>
        </is>
      </c>
      <c r="M71" s="195">
        <f>ROUND(G71*ROUND(K71,2),2)</f>
        <v/>
      </c>
      <c r="N71" s="196" t="n">
        <v>0.21</v>
      </c>
      <c r="O71" s="197">
        <f>ROUND(N71*ROUND(M71,2),2)</f>
        <v/>
      </c>
      <c r="P71" s="10" t="n"/>
      <c r="Q71" s="9" t="inlineStr">
        <is>
          <t>Non</t>
        </is>
      </c>
      <c r="R71" s="103" t="n">
        <v>6</v>
      </c>
    </row>
    <row r="72">
      <c r="A72" s="9" t="n">
        <v>56</v>
      </c>
      <c r="B72" s="82" t="inlineStr"/>
      <c r="C72" s="82" t="inlineStr"/>
      <c r="D72" s="83" t="inlineStr">
        <is>
          <t>&gt; 10 m² et &lt;= 25 m²</t>
        </is>
      </c>
      <c r="E72" s="9" t="inlineStr">
        <is>
          <t>QP</t>
        </is>
      </c>
      <c r="F72" s="9" t="inlineStr">
        <is>
          <t>m²</t>
        </is>
      </c>
      <c r="G72" s="9" t="n">
        <v>5</v>
      </c>
      <c r="H72" s="10" t="n"/>
      <c r="I72" s="10" t="n"/>
      <c r="J72" s="9">
        <f>G72-I72+H72</f>
        <v/>
      </c>
      <c r="K72" s="213" t="n">
        <v>105</v>
      </c>
      <c r="L72" s="84" t="inlineStr">
        <is>
          <t>cent cinq euros</t>
        </is>
      </c>
      <c r="M72" s="195">
        <f>ROUND(G72*ROUND(K72,2),2)</f>
        <v/>
      </c>
      <c r="N72" s="196" t="n">
        <v>0.21</v>
      </c>
      <c r="O72" s="197">
        <f>ROUND(N72*ROUND(M72,2),2)</f>
        <v/>
      </c>
      <c r="P72" s="10" t="n"/>
      <c r="Q72" s="9" t="inlineStr">
        <is>
          <t>Non</t>
        </is>
      </c>
      <c r="R72" s="103" t="n">
        <v>6</v>
      </c>
    </row>
    <row r="73">
      <c r="A73" s="9" t="n">
        <v>57</v>
      </c>
      <c r="B73" s="82" t="inlineStr"/>
      <c r="C73" s="82" t="inlineStr"/>
      <c r="D73" s="83" t="inlineStr">
        <is>
          <t>&gt; 25 m²</t>
        </is>
      </c>
      <c r="E73" s="9" t="inlineStr">
        <is>
          <t>QP</t>
        </is>
      </c>
      <c r="F73" s="9" t="inlineStr">
        <is>
          <t>m²</t>
        </is>
      </c>
      <c r="G73" s="9" t="n">
        <v>5</v>
      </c>
      <c r="H73" s="10" t="n"/>
      <c r="I73" s="10" t="n"/>
      <c r="J73" s="9">
        <f>G73-I73+H73</f>
        <v/>
      </c>
      <c r="K73" s="213" t="n">
        <v>98</v>
      </c>
      <c r="L73" s="84" t="inlineStr">
        <is>
          <t>quatre-vingt-dix-huit euros</t>
        </is>
      </c>
      <c r="M73" s="195">
        <f>ROUND(G73*ROUND(K73,2),2)</f>
        <v/>
      </c>
      <c r="N73" s="196" t="n">
        <v>0.21</v>
      </c>
      <c r="O73" s="197">
        <f>ROUND(N73*ROUND(M73,2),2)</f>
        <v/>
      </c>
      <c r="P73" s="10" t="n"/>
      <c r="Q73" s="9" t="inlineStr">
        <is>
          <t>Non</t>
        </is>
      </c>
      <c r="R73" s="103" t="n">
        <v>6</v>
      </c>
    </row>
    <row r="74" ht="13.2" customFormat="1" customHeight="1" s="71">
      <c r="A74" s="8" t="n"/>
      <c r="B74" s="76" t="inlineStr"/>
      <c r="C74" s="76" t="inlineStr"/>
      <c r="D74" s="77" t="inlineStr">
        <is>
          <t>PANNEAUX PAPIER</t>
        </is>
      </c>
      <c r="E74" s="8" t="inlineStr"/>
      <c r="F74" s="8" t="n"/>
      <c r="G74" s="8" t="n"/>
      <c r="H74" s="11" t="n"/>
      <c r="I74" s="11" t="n"/>
      <c r="J74" s="8" t="n"/>
      <c r="K74" s="198" t="n"/>
      <c r="L74" s="78" t="n"/>
      <c r="M74" s="210" t="n"/>
      <c r="N74" s="211" t="n"/>
      <c r="O74" s="212" t="n"/>
      <c r="P74" s="11" t="n"/>
      <c r="Q74" s="8" t="n"/>
      <c r="R74" s="102" t="n"/>
    </row>
    <row r="75" ht="20.4" customFormat="1" customHeight="1" s="71">
      <c r="A75" s="8" t="n"/>
      <c r="B75" s="76" t="inlineStr"/>
      <c r="C75" s="76" t="inlineStr"/>
      <c r="D75" s="77" t="inlineStr">
        <is>
          <t>Impression noir ou quadrichromie sur carton 2mm</t>
        </is>
      </c>
      <c r="E75" s="8" t="inlineStr"/>
      <c r="F75" s="8" t="n"/>
      <c r="G75" s="8" t="n"/>
      <c r="H75" s="11" t="n"/>
      <c r="I75" s="11" t="n"/>
      <c r="J75" s="8" t="n"/>
      <c r="K75" s="198" t="n"/>
      <c r="L75" s="78" t="n"/>
      <c r="M75" s="210" t="n"/>
      <c r="N75" s="211" t="n"/>
      <c r="O75" s="212" t="n"/>
      <c r="P75" s="11" t="n"/>
      <c r="Q75" s="8" t="n"/>
      <c r="R75" s="102" t="n"/>
    </row>
    <row r="76">
      <c r="A76" s="9" t="n">
        <v>58</v>
      </c>
      <c r="B76" s="82" t="inlineStr"/>
      <c r="C76" s="82" t="inlineStr"/>
      <c r="D76" s="83" t="inlineStr">
        <is>
          <t>&gt;= A2 et &lt;= 1 m²</t>
        </is>
      </c>
      <c r="E76" s="9" t="inlineStr">
        <is>
          <t>QP</t>
        </is>
      </c>
      <c r="F76" s="9" t="inlineStr">
        <is>
          <t>m²</t>
        </is>
      </c>
      <c r="G76" s="9" t="n">
        <v>5</v>
      </c>
      <c r="H76" s="10" t="n"/>
      <c r="I76" s="10" t="n"/>
      <c r="J76" s="9">
        <f>G76-I76+H76</f>
        <v/>
      </c>
      <c r="K76" s="213" t="n">
        <v>38</v>
      </c>
      <c r="L76" s="84" t="inlineStr">
        <is>
          <t>trente-huit euros</t>
        </is>
      </c>
      <c r="M76" s="195">
        <f>ROUND(G76*ROUND(K76,2),2)</f>
        <v/>
      </c>
      <c r="N76" s="196" t="n">
        <v>0.21</v>
      </c>
      <c r="O76" s="197">
        <f>ROUND(N76*ROUND(M76,2),2)</f>
        <v/>
      </c>
      <c r="P76" s="10" t="n"/>
      <c r="Q76" s="9" t="inlineStr">
        <is>
          <t>Non</t>
        </is>
      </c>
      <c r="R76" s="103" t="n">
        <v>6</v>
      </c>
    </row>
    <row r="77">
      <c r="A77" s="9" t="n">
        <v>59</v>
      </c>
      <c r="B77" s="82" t="inlineStr"/>
      <c r="C77" s="82" t="inlineStr"/>
      <c r="D77" s="83" t="inlineStr">
        <is>
          <t>&gt; 1 m² et &lt;= 2 m²</t>
        </is>
      </c>
      <c r="E77" s="9" t="inlineStr">
        <is>
          <t>QP</t>
        </is>
      </c>
      <c r="F77" s="9" t="inlineStr">
        <is>
          <t>m²</t>
        </is>
      </c>
      <c r="G77" s="9" t="n">
        <v>5</v>
      </c>
      <c r="H77" s="10" t="n"/>
      <c r="I77" s="10" t="n"/>
      <c r="J77" s="9">
        <f>G77-I77+H77</f>
        <v/>
      </c>
      <c r="K77" s="213" t="n">
        <v>33</v>
      </c>
      <c r="L77" s="84" t="inlineStr">
        <is>
          <t>trente-trois euros</t>
        </is>
      </c>
      <c r="M77" s="195">
        <f>ROUND(G77*ROUND(K77,2),2)</f>
        <v/>
      </c>
      <c r="N77" s="196" t="n">
        <v>0.21</v>
      </c>
      <c r="O77" s="197">
        <f>ROUND(N77*ROUND(M77,2),2)</f>
        <v/>
      </c>
      <c r="P77" s="10" t="n"/>
      <c r="Q77" s="9" t="inlineStr">
        <is>
          <t>Non</t>
        </is>
      </c>
      <c r="R77" s="103" t="n">
        <v>6</v>
      </c>
    </row>
    <row r="78">
      <c r="A78" s="9" t="n">
        <v>60</v>
      </c>
      <c r="B78" s="82" t="inlineStr"/>
      <c r="C78" s="82" t="inlineStr"/>
      <c r="D78" s="83" t="inlineStr">
        <is>
          <t>&gt; 2 m² et &lt;= 5 m²</t>
        </is>
      </c>
      <c r="E78" s="9" t="inlineStr">
        <is>
          <t>QP</t>
        </is>
      </c>
      <c r="F78" s="9" t="inlineStr">
        <is>
          <t>m²</t>
        </is>
      </c>
      <c r="G78" s="9" t="n">
        <v>5</v>
      </c>
      <c r="H78" s="10" t="n"/>
      <c r="I78" s="10" t="n"/>
      <c r="J78" s="9">
        <f>G78-I78+H78</f>
        <v/>
      </c>
      <c r="K78" s="213" t="n">
        <v>29</v>
      </c>
      <c r="L78" s="84" t="inlineStr">
        <is>
          <t>vingt-neuf euros</t>
        </is>
      </c>
      <c r="M78" s="195">
        <f>ROUND(G78*ROUND(K78,2),2)</f>
        <v/>
      </c>
      <c r="N78" s="196" t="n">
        <v>0.21</v>
      </c>
      <c r="O78" s="197">
        <f>ROUND(N78*ROUND(M78,2),2)</f>
        <v/>
      </c>
      <c r="P78" s="10" t="n"/>
      <c r="Q78" s="9" t="inlineStr">
        <is>
          <t>Non</t>
        </is>
      </c>
      <c r="R78" s="103" t="n">
        <v>6</v>
      </c>
    </row>
    <row r="79">
      <c r="A79" s="9" t="n">
        <v>61</v>
      </c>
      <c r="B79" s="82" t="inlineStr"/>
      <c r="C79" s="82" t="inlineStr"/>
      <c r="D79" s="83" t="inlineStr">
        <is>
          <t>&gt; 5 m² et &lt;= 10 m²</t>
        </is>
      </c>
      <c r="E79" s="9" t="inlineStr">
        <is>
          <t>QP</t>
        </is>
      </c>
      <c r="F79" s="9" t="inlineStr">
        <is>
          <t>m²</t>
        </is>
      </c>
      <c r="G79" s="9" t="n">
        <v>5</v>
      </c>
      <c r="H79" s="10" t="n"/>
      <c r="I79" s="10" t="n"/>
      <c r="J79" s="9">
        <f>G79-I79+H79</f>
        <v/>
      </c>
      <c r="K79" s="213" t="n">
        <v>26</v>
      </c>
      <c r="L79" s="84" t="inlineStr">
        <is>
          <t>vingt-six euros</t>
        </is>
      </c>
      <c r="M79" s="195">
        <f>ROUND(G79*ROUND(K79,2),2)</f>
        <v/>
      </c>
      <c r="N79" s="196" t="n">
        <v>0.21</v>
      </c>
      <c r="O79" s="197">
        <f>ROUND(N79*ROUND(M79,2),2)</f>
        <v/>
      </c>
      <c r="P79" s="10" t="n"/>
      <c r="Q79" s="9" t="inlineStr">
        <is>
          <t>Non</t>
        </is>
      </c>
      <c r="R79" s="103" t="n">
        <v>6</v>
      </c>
    </row>
    <row r="80">
      <c r="A80" s="9" t="n">
        <v>62</v>
      </c>
      <c r="B80" s="82" t="inlineStr"/>
      <c r="C80" s="82" t="inlineStr"/>
      <c r="D80" s="83" t="inlineStr">
        <is>
          <t>&gt; 10 m² et &lt;= 25 m²</t>
        </is>
      </c>
      <c r="E80" s="9" t="inlineStr">
        <is>
          <t>QP</t>
        </is>
      </c>
      <c r="F80" s="9" t="inlineStr">
        <is>
          <t>m²</t>
        </is>
      </c>
      <c r="G80" s="9" t="n">
        <v>5</v>
      </c>
      <c r="H80" s="10" t="n"/>
      <c r="I80" s="10" t="n"/>
      <c r="J80" s="9">
        <f>G80-I80+H80</f>
        <v/>
      </c>
      <c r="K80" s="213" t="n">
        <v>23</v>
      </c>
      <c r="L80" s="84" t="inlineStr">
        <is>
          <t>vingt-trois euros</t>
        </is>
      </c>
      <c r="M80" s="195">
        <f>ROUND(G80*ROUND(K80,2),2)</f>
        <v/>
      </c>
      <c r="N80" s="196" t="n">
        <v>0.21</v>
      </c>
      <c r="O80" s="197">
        <f>ROUND(N80*ROUND(M80,2),2)</f>
        <v/>
      </c>
      <c r="P80" s="10" t="n"/>
      <c r="Q80" s="9" t="inlineStr">
        <is>
          <t>Non</t>
        </is>
      </c>
      <c r="R80" s="103" t="n">
        <v>6</v>
      </c>
    </row>
    <row r="81">
      <c r="A81" s="9" t="n">
        <v>63</v>
      </c>
      <c r="B81" s="82" t="inlineStr"/>
      <c r="C81" s="82" t="inlineStr"/>
      <c r="D81" s="83" t="inlineStr">
        <is>
          <t>&gt; 25 m²</t>
        </is>
      </c>
      <c r="E81" s="9" t="inlineStr">
        <is>
          <t>QP</t>
        </is>
      </c>
      <c r="F81" s="9" t="inlineStr">
        <is>
          <t>m²</t>
        </is>
      </c>
      <c r="G81" s="9" t="n">
        <v>5</v>
      </c>
      <c r="H81" s="10" t="n"/>
      <c r="I81" s="10" t="n"/>
      <c r="J81" s="9">
        <f>G81-I81+H81</f>
        <v/>
      </c>
      <c r="K81" s="213" t="n">
        <v>21</v>
      </c>
      <c r="L81" s="84" t="inlineStr">
        <is>
          <t>vingt et un euros</t>
        </is>
      </c>
      <c r="M81" s="195">
        <f>ROUND(G81*ROUND(K81,2),2)</f>
        <v/>
      </c>
      <c r="N81" s="196" t="n">
        <v>0.21</v>
      </c>
      <c r="O81" s="197">
        <f>ROUND(N81*ROUND(M81,2),2)</f>
        <v/>
      </c>
      <c r="P81" s="10" t="n"/>
      <c r="Q81" s="9" t="inlineStr">
        <is>
          <t>Non</t>
        </is>
      </c>
      <c r="R81" s="103" t="n">
        <v>6</v>
      </c>
    </row>
    <row r="82" ht="30.6" customFormat="1" customHeight="1" s="71">
      <c r="A82" s="8" t="n"/>
      <c r="B82" s="76" t="inlineStr"/>
      <c r="C82" s="76" t="inlineStr"/>
      <c r="D82" s="77" t="inlineStr">
        <is>
          <t>CARTELS PAPIER - dimension A5 maximum - découpe rectangle comprise</t>
        </is>
      </c>
      <c r="E82" s="8" t="inlineStr"/>
      <c r="F82" s="8" t="n"/>
      <c r="G82" s="8" t="n"/>
      <c r="H82" s="11" t="n"/>
      <c r="I82" s="11" t="n"/>
      <c r="J82" s="8" t="n"/>
      <c r="K82" s="198" t="n"/>
      <c r="L82" s="78" t="n"/>
      <c r="M82" s="210" t="n"/>
      <c r="N82" s="211" t="n"/>
      <c r="O82" s="212" t="n"/>
      <c r="P82" s="11" t="n"/>
      <c r="Q82" s="8" t="n"/>
      <c r="R82" s="102" t="n"/>
    </row>
    <row r="83" ht="20.4" customFormat="1" customHeight="1" s="71">
      <c r="A83" s="8" t="n"/>
      <c r="B83" s="76" t="inlineStr"/>
      <c r="C83" s="76" t="inlineStr"/>
      <c r="D83" s="77" t="inlineStr">
        <is>
          <t>Impression noir ou quadrichromie sur carton 1mm</t>
        </is>
      </c>
      <c r="E83" s="8" t="inlineStr"/>
      <c r="F83" s="8" t="n"/>
      <c r="G83" s="8" t="n"/>
      <c r="H83" s="11" t="n"/>
      <c r="I83" s="11" t="n"/>
      <c r="J83" s="8" t="n"/>
      <c r="K83" s="198" t="n"/>
      <c r="L83" s="78" t="n"/>
      <c r="M83" s="210" t="n"/>
      <c r="N83" s="211" t="n"/>
      <c r="O83" s="212" t="n"/>
      <c r="P83" s="11" t="n"/>
      <c r="Q83" s="8" t="n"/>
      <c r="R83" s="102" t="n"/>
    </row>
    <row r="84">
      <c r="A84" s="9" t="n">
        <v>64</v>
      </c>
      <c r="B84" s="82" t="inlineStr"/>
      <c r="C84" s="82" t="inlineStr"/>
      <c r="D84" s="83" t="inlineStr">
        <is>
          <t>10 cartels</t>
        </is>
      </c>
      <c r="E84" s="9" t="inlineStr">
        <is>
          <t>QP</t>
        </is>
      </c>
      <c r="F84" s="9" t="inlineStr">
        <is>
          <t>10 cartels</t>
        </is>
      </c>
      <c r="G84" s="9" t="n">
        <v>5</v>
      </c>
      <c r="H84" s="10" t="n"/>
      <c r="I84" s="10" t="n"/>
      <c r="J84" s="9">
        <f>G84-I84+H84</f>
        <v/>
      </c>
      <c r="K84" s="213" t="n">
        <v>22</v>
      </c>
      <c r="L84" s="84" t="inlineStr">
        <is>
          <t>vingt-deux euros</t>
        </is>
      </c>
      <c r="M84" s="195">
        <f>ROUND(G84*ROUND(K84,2),2)</f>
        <v/>
      </c>
      <c r="N84" s="196" t="n">
        <v>0.21</v>
      </c>
      <c r="O84" s="197">
        <f>ROUND(N84*ROUND(M84,2),2)</f>
        <v/>
      </c>
      <c r="P84" s="10" t="n"/>
      <c r="Q84" s="9" t="inlineStr">
        <is>
          <t>Non</t>
        </is>
      </c>
      <c r="R84" s="103" t="n">
        <v>6</v>
      </c>
    </row>
    <row r="85">
      <c r="A85" s="9" t="n">
        <v>65</v>
      </c>
      <c r="B85" s="82" t="inlineStr"/>
      <c r="C85" s="82" t="inlineStr"/>
      <c r="D85" s="83" t="inlineStr">
        <is>
          <t>25 cartels</t>
        </is>
      </c>
      <c r="E85" s="9" t="inlineStr">
        <is>
          <t>QP</t>
        </is>
      </c>
      <c r="F85" s="9" t="inlineStr">
        <is>
          <t>25 cartels</t>
        </is>
      </c>
      <c r="G85" s="9" t="n">
        <v>5</v>
      </c>
      <c r="H85" s="10" t="n"/>
      <c r="I85" s="10" t="n"/>
      <c r="J85" s="9">
        <f>G85-I85+H85</f>
        <v/>
      </c>
      <c r="K85" s="213" t="n">
        <v>45</v>
      </c>
      <c r="L85" s="84" t="inlineStr">
        <is>
          <t>quarante-cinq euros</t>
        </is>
      </c>
      <c r="M85" s="195">
        <f>ROUND(G85*ROUND(K85,2),2)</f>
        <v/>
      </c>
      <c r="N85" s="196" t="n">
        <v>0.21</v>
      </c>
      <c r="O85" s="197">
        <f>ROUND(N85*ROUND(M85,2),2)</f>
        <v/>
      </c>
      <c r="P85" s="10" t="n"/>
      <c r="Q85" s="9" t="inlineStr">
        <is>
          <t>Non</t>
        </is>
      </c>
      <c r="R85" s="103" t="n">
        <v>6</v>
      </c>
    </row>
    <row r="86">
      <c r="A86" s="9" t="n">
        <v>66</v>
      </c>
      <c r="B86" s="82" t="inlineStr"/>
      <c r="C86" s="82" t="inlineStr"/>
      <c r="D86" s="83" t="inlineStr">
        <is>
          <t>50 cartels</t>
        </is>
      </c>
      <c r="E86" s="9" t="inlineStr">
        <is>
          <t>QP</t>
        </is>
      </c>
      <c r="F86" s="9" t="inlineStr">
        <is>
          <t>50 cartels</t>
        </is>
      </c>
      <c r="G86" s="9" t="n">
        <v>5</v>
      </c>
      <c r="H86" s="10" t="n"/>
      <c r="I86" s="10" t="n"/>
      <c r="J86" s="9">
        <f>G86-I86+H86</f>
        <v/>
      </c>
      <c r="K86" s="213" t="n">
        <v>75</v>
      </c>
      <c r="L86" s="84" t="inlineStr">
        <is>
          <t>soixante-quinze euros</t>
        </is>
      </c>
      <c r="M86" s="195">
        <f>ROUND(G86*ROUND(K86,2),2)</f>
        <v/>
      </c>
      <c r="N86" s="196" t="n">
        <v>0.21</v>
      </c>
      <c r="O86" s="197">
        <f>ROUND(N86*ROUND(M86,2),2)</f>
        <v/>
      </c>
      <c r="P86" s="10" t="n"/>
      <c r="Q86" s="9" t="inlineStr">
        <is>
          <t>Non</t>
        </is>
      </c>
      <c r="R86" s="103" t="n">
        <v>6</v>
      </c>
    </row>
    <row r="87">
      <c r="A87" s="9" t="n">
        <v>67</v>
      </c>
      <c r="B87" s="82" t="inlineStr"/>
      <c r="C87" s="82" t="inlineStr"/>
      <c r="D87" s="83" t="inlineStr">
        <is>
          <t>100 cartels</t>
        </is>
      </c>
      <c r="E87" s="9" t="inlineStr">
        <is>
          <t>QP</t>
        </is>
      </c>
      <c r="F87" s="9" t="inlineStr">
        <is>
          <t>100 cartels</t>
        </is>
      </c>
      <c r="G87" s="9" t="n">
        <v>5</v>
      </c>
      <c r="H87" s="10" t="n"/>
      <c r="I87" s="10" t="n"/>
      <c r="J87" s="9">
        <f>G87-I87+H87</f>
        <v/>
      </c>
      <c r="K87" s="213" t="n">
        <v>130</v>
      </c>
      <c r="L87" s="84" t="inlineStr">
        <is>
          <t>cent trente euros</t>
        </is>
      </c>
      <c r="M87" s="195">
        <f>ROUND(G87*ROUND(K87,2),2)</f>
        <v/>
      </c>
      <c r="N87" s="196" t="n">
        <v>0.21</v>
      </c>
      <c r="O87" s="197">
        <f>ROUND(N87*ROUND(M87,2),2)</f>
        <v/>
      </c>
      <c r="P87" s="10" t="n"/>
      <c r="Q87" s="9" t="inlineStr">
        <is>
          <t>Non</t>
        </is>
      </c>
      <c r="R87" s="103" t="n">
        <v>6</v>
      </c>
    </row>
    <row r="88">
      <c r="A88" s="9" t="n">
        <v>68</v>
      </c>
      <c r="B88" s="82" t="inlineStr"/>
      <c r="C88" s="82" t="inlineStr"/>
      <c r="D88" s="83" t="inlineStr">
        <is>
          <t>150 cartels</t>
        </is>
      </c>
      <c r="E88" s="9" t="inlineStr">
        <is>
          <t>QP</t>
        </is>
      </c>
      <c r="F88" s="9" t="inlineStr">
        <is>
          <t>150 cartels</t>
        </is>
      </c>
      <c r="G88" s="9" t="n">
        <v>5</v>
      </c>
      <c r="H88" s="10" t="n"/>
      <c r="I88" s="10" t="n"/>
      <c r="J88" s="9">
        <f>G88-I88+H88</f>
        <v/>
      </c>
      <c r="K88" s="213" t="n">
        <v>180</v>
      </c>
      <c r="L88" s="84" t="inlineStr">
        <is>
          <t>cent quatre-vingts euros</t>
        </is>
      </c>
      <c r="M88" s="195">
        <f>ROUND(G88*ROUND(K88,2),2)</f>
        <v/>
      </c>
      <c r="N88" s="196" t="n">
        <v>0.21</v>
      </c>
      <c r="O88" s="197">
        <f>ROUND(N88*ROUND(M88,2),2)</f>
        <v/>
      </c>
      <c r="P88" s="10" t="n"/>
      <c r="Q88" s="9" t="inlineStr">
        <is>
          <t>Non</t>
        </is>
      </c>
      <c r="R88" s="103" t="n">
        <v>6</v>
      </c>
    </row>
    <row r="89">
      <c r="A89" s="9" t="n">
        <v>69</v>
      </c>
      <c r="B89" s="82" t="inlineStr"/>
      <c r="C89" s="82" t="inlineStr"/>
      <c r="D89" s="83" t="inlineStr">
        <is>
          <t>200 cartels</t>
        </is>
      </c>
      <c r="E89" s="9" t="inlineStr">
        <is>
          <t>QP</t>
        </is>
      </c>
      <c r="F89" s="9" t="inlineStr">
        <is>
          <t>200 cartels</t>
        </is>
      </c>
      <c r="G89" s="9" t="n">
        <v>5</v>
      </c>
      <c r="H89" s="10" t="n"/>
      <c r="I89" s="10" t="n"/>
      <c r="J89" s="9">
        <f>G89-I89+H89</f>
        <v/>
      </c>
      <c r="K89" s="213" t="n">
        <v>225</v>
      </c>
      <c r="L89" s="84" t="inlineStr">
        <is>
          <t>deux cent vingt-cinq euros</t>
        </is>
      </c>
      <c r="M89" s="195">
        <f>ROUND(G89*ROUND(K89,2),2)</f>
        <v/>
      </c>
      <c r="N89" s="196" t="n">
        <v>0.21</v>
      </c>
      <c r="O89" s="197">
        <f>ROUND(N89*ROUND(M89,2),2)</f>
        <v/>
      </c>
      <c r="P89" s="10" t="n"/>
      <c r="Q89" s="9" t="inlineStr">
        <is>
          <t>Non</t>
        </is>
      </c>
      <c r="R89" s="103" t="n">
        <v>6</v>
      </c>
    </row>
    <row r="90">
      <c r="A90" s="9" t="n">
        <v>70</v>
      </c>
      <c r="B90" s="82" t="inlineStr"/>
      <c r="C90" s="82" t="inlineStr"/>
      <c r="D90" s="83" t="inlineStr">
        <is>
          <t>qté supplém. +10</t>
        </is>
      </c>
      <c r="E90" s="9" t="inlineStr">
        <is>
          <t>QP</t>
        </is>
      </c>
      <c r="F90" s="9" t="inlineStr">
        <is>
          <t>10 quantités supplémentaires</t>
        </is>
      </c>
      <c r="G90" s="9" t="n">
        <v>5</v>
      </c>
      <c r="H90" s="10" t="n"/>
      <c r="I90" s="10" t="n"/>
      <c r="J90" s="9">
        <f>G90-I90+H90</f>
        <v/>
      </c>
      <c r="K90" s="213" t="n">
        <v>11</v>
      </c>
      <c r="L90" s="84" t="inlineStr">
        <is>
          <t>onze euros</t>
        </is>
      </c>
      <c r="M90" s="195">
        <f>ROUND(G90*ROUND(K90,2),2)</f>
        <v/>
      </c>
      <c r="N90" s="196" t="n">
        <v>0.21</v>
      </c>
      <c r="O90" s="197">
        <f>ROUND(N90*ROUND(M90,2),2)</f>
        <v/>
      </c>
      <c r="P90" s="10" t="n"/>
      <c r="Q90" s="9" t="inlineStr">
        <is>
          <t>Non</t>
        </is>
      </c>
      <c r="R90" s="103" t="n">
        <v>6</v>
      </c>
    </row>
    <row r="91" ht="20.4" customFormat="1" customHeight="1" s="71">
      <c r="A91" s="8" t="n"/>
      <c r="B91" s="76" t="inlineStr"/>
      <c r="C91" s="76" t="inlineStr"/>
      <c r="D91" s="77" t="inlineStr">
        <is>
          <t>Impression noir ou quadrichromie sur carton 2mm</t>
        </is>
      </c>
      <c r="E91" s="8" t="inlineStr"/>
      <c r="F91" s="8" t="n"/>
      <c r="G91" s="8" t="n"/>
      <c r="H91" s="11" t="n"/>
      <c r="I91" s="11" t="n"/>
      <c r="J91" s="8" t="n"/>
      <c r="K91" s="198" t="n"/>
      <c r="L91" s="78" t="n"/>
      <c r="M91" s="210" t="n"/>
      <c r="N91" s="211" t="n"/>
      <c r="O91" s="212" t="n"/>
      <c r="P91" s="11" t="n"/>
      <c r="Q91" s="8" t="n"/>
      <c r="R91" s="102" t="n"/>
    </row>
    <row r="92">
      <c r="A92" s="9" t="n">
        <v>71</v>
      </c>
      <c r="B92" s="82" t="inlineStr"/>
      <c r="C92" s="82" t="inlineStr"/>
      <c r="D92" s="83" t="inlineStr">
        <is>
          <t>10 cartels</t>
        </is>
      </c>
      <c r="E92" s="9" t="inlineStr">
        <is>
          <t>QP</t>
        </is>
      </c>
      <c r="F92" s="9" t="inlineStr">
        <is>
          <t>10 cartels</t>
        </is>
      </c>
      <c r="G92" s="9" t="n">
        <v>5</v>
      </c>
      <c r="H92" s="10" t="n"/>
      <c r="I92" s="10" t="n"/>
      <c r="J92" s="9">
        <f>G92-I92+H92</f>
        <v/>
      </c>
      <c r="K92" s="213" t="n">
        <v>25</v>
      </c>
      <c r="L92" s="84" t="inlineStr">
        <is>
          <t>vingt-cinq euros</t>
        </is>
      </c>
      <c r="M92" s="195">
        <f>ROUND(G92*ROUND(K92,2),2)</f>
        <v/>
      </c>
      <c r="N92" s="196" t="n">
        <v>0.21</v>
      </c>
      <c r="O92" s="197">
        <f>ROUND(N92*ROUND(M92,2),2)</f>
        <v/>
      </c>
      <c r="P92" s="10" t="n"/>
      <c r="Q92" s="9" t="inlineStr">
        <is>
          <t>Non</t>
        </is>
      </c>
      <c r="R92" s="103" t="n">
        <v>6</v>
      </c>
    </row>
    <row r="93">
      <c r="A93" s="9" t="n">
        <v>72</v>
      </c>
      <c r="B93" s="82" t="inlineStr"/>
      <c r="C93" s="82" t="inlineStr"/>
      <c r="D93" s="83" t="inlineStr">
        <is>
          <t>25 cartels</t>
        </is>
      </c>
      <c r="E93" s="9" t="inlineStr">
        <is>
          <t>QP</t>
        </is>
      </c>
      <c r="F93" s="9" t="inlineStr">
        <is>
          <t>25 cartels</t>
        </is>
      </c>
      <c r="G93" s="9" t="n">
        <v>5</v>
      </c>
      <c r="H93" s="10" t="n"/>
      <c r="I93" s="10" t="n"/>
      <c r="J93" s="9">
        <f>G93-I93+H93</f>
        <v/>
      </c>
      <c r="K93" s="213" t="n">
        <v>50</v>
      </c>
      <c r="L93" s="84" t="inlineStr">
        <is>
          <t>cinquante euros</t>
        </is>
      </c>
      <c r="M93" s="195">
        <f>ROUND(G93*ROUND(K93,2),2)</f>
        <v/>
      </c>
      <c r="N93" s="196" t="n">
        <v>0.21</v>
      </c>
      <c r="O93" s="197">
        <f>ROUND(N93*ROUND(M93,2),2)</f>
        <v/>
      </c>
      <c r="P93" s="10" t="n"/>
      <c r="Q93" s="9" t="inlineStr">
        <is>
          <t>Non</t>
        </is>
      </c>
      <c r="R93" s="103" t="n">
        <v>6</v>
      </c>
    </row>
    <row r="94">
      <c r="A94" s="9" t="n">
        <v>73</v>
      </c>
      <c r="B94" s="82" t="inlineStr"/>
      <c r="C94" s="82" t="inlineStr"/>
      <c r="D94" s="83" t="inlineStr">
        <is>
          <t>50 cartels</t>
        </is>
      </c>
      <c r="E94" s="9" t="inlineStr">
        <is>
          <t>QP</t>
        </is>
      </c>
      <c r="F94" s="9" t="inlineStr">
        <is>
          <t>50 cartels</t>
        </is>
      </c>
      <c r="G94" s="9" t="n">
        <v>5</v>
      </c>
      <c r="H94" s="10" t="n"/>
      <c r="I94" s="10" t="n"/>
      <c r="J94" s="9">
        <f>G94-I94+H94</f>
        <v/>
      </c>
      <c r="K94" s="213" t="n">
        <v>85</v>
      </c>
      <c r="L94" s="84" t="inlineStr">
        <is>
          <t>quatre-vingt-cinq euros</t>
        </is>
      </c>
      <c r="M94" s="195">
        <f>ROUND(G94*ROUND(K94,2),2)</f>
        <v/>
      </c>
      <c r="N94" s="196" t="n">
        <v>0.21</v>
      </c>
      <c r="O94" s="197">
        <f>ROUND(N94*ROUND(M94,2),2)</f>
        <v/>
      </c>
      <c r="P94" s="10" t="n"/>
      <c r="Q94" s="9" t="inlineStr">
        <is>
          <t>Non</t>
        </is>
      </c>
      <c r="R94" s="103" t="n">
        <v>6</v>
      </c>
    </row>
    <row r="95">
      <c r="A95" s="9" t="n">
        <v>74</v>
      </c>
      <c r="B95" s="82" t="inlineStr"/>
      <c r="C95" s="82" t="inlineStr"/>
      <c r="D95" s="83" t="inlineStr">
        <is>
          <t>100 cartels</t>
        </is>
      </c>
      <c r="E95" s="9" t="inlineStr">
        <is>
          <t>QP</t>
        </is>
      </c>
      <c r="F95" s="9" t="inlineStr">
        <is>
          <t>100 cartels</t>
        </is>
      </c>
      <c r="G95" s="9" t="n">
        <v>5</v>
      </c>
      <c r="H95" s="10" t="n"/>
      <c r="I95" s="10" t="n"/>
      <c r="J95" s="9">
        <f>G95-I95+H95</f>
        <v/>
      </c>
      <c r="K95" s="213" t="n">
        <v>150</v>
      </c>
      <c r="L95" s="84" t="inlineStr">
        <is>
          <t>cent cinquante euros</t>
        </is>
      </c>
      <c r="M95" s="195">
        <f>ROUND(G95*ROUND(K95,2),2)</f>
        <v/>
      </c>
      <c r="N95" s="196" t="n">
        <v>0.21</v>
      </c>
      <c r="O95" s="197">
        <f>ROUND(N95*ROUND(M95,2),2)</f>
        <v/>
      </c>
      <c r="P95" s="10" t="n"/>
      <c r="Q95" s="9" t="inlineStr">
        <is>
          <t>Non</t>
        </is>
      </c>
      <c r="R95" s="103" t="n">
        <v>6</v>
      </c>
    </row>
    <row r="96">
      <c r="A96" s="9" t="n">
        <v>75</v>
      </c>
      <c r="B96" s="82" t="inlineStr"/>
      <c r="C96" s="82" t="inlineStr"/>
      <c r="D96" s="83" t="inlineStr">
        <is>
          <t>150 cartels</t>
        </is>
      </c>
      <c r="E96" s="9" t="inlineStr">
        <is>
          <t>QP</t>
        </is>
      </c>
      <c r="F96" s="9" t="inlineStr">
        <is>
          <t>150 cartels</t>
        </is>
      </c>
      <c r="G96" s="9" t="n">
        <v>5</v>
      </c>
      <c r="H96" s="10" t="n"/>
      <c r="I96" s="10" t="n"/>
      <c r="J96" s="9">
        <f>G96-I96+H96</f>
        <v/>
      </c>
      <c r="K96" s="213" t="n">
        <v>205</v>
      </c>
      <c r="L96" s="84" t="inlineStr">
        <is>
          <t>deux cent cinq euros</t>
        </is>
      </c>
      <c r="M96" s="195">
        <f>ROUND(G96*ROUND(K96,2),2)</f>
        <v/>
      </c>
      <c r="N96" s="196" t="n">
        <v>0.21</v>
      </c>
      <c r="O96" s="197">
        <f>ROUND(N96*ROUND(M96,2),2)</f>
        <v/>
      </c>
      <c r="P96" s="10" t="n"/>
      <c r="Q96" s="9" t="inlineStr">
        <is>
          <t>Non</t>
        </is>
      </c>
      <c r="R96" s="103" t="n">
        <v>6</v>
      </c>
    </row>
    <row r="97">
      <c r="A97" s="9" t="n">
        <v>76</v>
      </c>
      <c r="B97" s="82" t="inlineStr"/>
      <c r="C97" s="82" t="inlineStr"/>
      <c r="D97" s="83" t="inlineStr">
        <is>
          <t>200 cartels</t>
        </is>
      </c>
      <c r="E97" s="9" t="inlineStr">
        <is>
          <t>QP</t>
        </is>
      </c>
      <c r="F97" s="9" t="inlineStr">
        <is>
          <t>200 cartels</t>
        </is>
      </c>
      <c r="G97" s="9" t="n">
        <v>5</v>
      </c>
      <c r="H97" s="10" t="n"/>
      <c r="I97" s="10" t="n"/>
      <c r="J97" s="9">
        <f>G97-I97+H97</f>
        <v/>
      </c>
      <c r="K97" s="213" t="n">
        <v>255</v>
      </c>
      <c r="L97" s="84" t="inlineStr">
        <is>
          <t>deux cent cinquante-cinq euros</t>
        </is>
      </c>
      <c r="M97" s="195">
        <f>ROUND(G97*ROUND(K97,2),2)</f>
        <v/>
      </c>
      <c r="N97" s="196" t="n">
        <v>0.21</v>
      </c>
      <c r="O97" s="197">
        <f>ROUND(N97*ROUND(M97,2),2)</f>
        <v/>
      </c>
      <c r="P97" s="10" t="n"/>
      <c r="Q97" s="9" t="inlineStr">
        <is>
          <t>Non</t>
        </is>
      </c>
      <c r="R97" s="103" t="n">
        <v>6</v>
      </c>
    </row>
    <row r="98">
      <c r="A98" s="9" t="n">
        <v>77</v>
      </c>
      <c r="B98" s="82" t="inlineStr"/>
      <c r="C98" s="82" t="inlineStr"/>
      <c r="D98" s="83" t="inlineStr">
        <is>
          <t>qté supplém. +10</t>
        </is>
      </c>
      <c r="E98" s="9" t="inlineStr">
        <is>
          <t>QP</t>
        </is>
      </c>
      <c r="F98" s="9" t="inlineStr">
        <is>
          <t>10 quantités supplémentaires</t>
        </is>
      </c>
      <c r="G98" s="9" t="n">
        <v>5</v>
      </c>
      <c r="H98" s="10" t="n"/>
      <c r="I98" s="10" t="n"/>
      <c r="J98" s="9">
        <f>G98-I98+H98</f>
        <v/>
      </c>
      <c r="K98" s="213" t="n">
        <v>12</v>
      </c>
      <c r="L98" s="84" t="inlineStr">
        <is>
          <t>douze euros</t>
        </is>
      </c>
      <c r="M98" s="195">
        <f>ROUND(G98*ROUND(K98,2),2)</f>
        <v/>
      </c>
      <c r="N98" s="196" t="n">
        <v>0.21</v>
      </c>
      <c r="O98" s="197">
        <f>ROUND(N98*ROUND(M98,2),2)</f>
        <v/>
      </c>
      <c r="P98" s="10" t="n"/>
      <c r="Q98" s="9" t="inlineStr">
        <is>
          <t>Non</t>
        </is>
      </c>
      <c r="R98" s="103" t="n">
        <v>6</v>
      </c>
    </row>
    <row r="99" ht="20.4" customFormat="1" customHeight="1" s="71">
      <c r="A99" s="8" t="n"/>
      <c r="B99" s="76" t="inlineStr"/>
      <c r="C99" s="76" t="inlineStr"/>
      <c r="D99" s="77" t="inlineStr">
        <is>
          <t>SUPPORT VINYLE AUTOCOLLANT - découpe rectangle comprise</t>
        </is>
      </c>
      <c r="E99" s="8" t="inlineStr"/>
      <c r="F99" s="8" t="n"/>
      <c r="G99" s="8" t="n"/>
      <c r="H99" s="11" t="n"/>
      <c r="I99" s="11" t="n"/>
      <c r="J99" s="8" t="n"/>
      <c r="K99" s="198" t="n"/>
      <c r="L99" s="78" t="n"/>
      <c r="M99" s="210" t="n"/>
      <c r="N99" s="211" t="n"/>
      <c r="O99" s="212" t="n"/>
      <c r="P99" s="11" t="n"/>
      <c r="Q99" s="8" t="n"/>
      <c r="R99" s="102" t="n"/>
    </row>
    <row r="100" ht="30.6" customFormat="1" customHeight="1" s="71">
      <c r="A100" s="8" t="n"/>
      <c r="B100" s="76" t="inlineStr"/>
      <c r="C100" s="76" t="inlineStr"/>
      <c r="D100" s="77" t="inlineStr">
        <is>
          <t>Impression digitale quadrichromie sur vinyle autocollant monomère pour l'intérieur</t>
        </is>
      </c>
      <c r="E100" s="8" t="inlineStr"/>
      <c r="F100" s="8" t="n"/>
      <c r="G100" s="8" t="n"/>
      <c r="H100" s="11" t="n"/>
      <c r="I100" s="11" t="n"/>
      <c r="J100" s="8" t="n"/>
      <c r="K100" s="198" t="n"/>
      <c r="L100" s="78" t="n"/>
      <c r="M100" s="210" t="n"/>
      <c r="N100" s="211" t="n"/>
      <c r="O100" s="212" t="n"/>
      <c r="P100" s="11" t="n"/>
      <c r="Q100" s="8" t="n"/>
      <c r="R100" s="102" t="n"/>
    </row>
    <row r="101">
      <c r="A101" s="9" t="n">
        <v>78</v>
      </c>
      <c r="B101" s="82" t="inlineStr"/>
      <c r="C101" s="82" t="inlineStr"/>
      <c r="D101" s="83" t="inlineStr">
        <is>
          <t>&gt;= A2 et &lt;= 1 m²</t>
        </is>
      </c>
      <c r="E101" s="9" t="inlineStr">
        <is>
          <t>QP</t>
        </is>
      </c>
      <c r="F101" s="9" t="inlineStr">
        <is>
          <t>m²</t>
        </is>
      </c>
      <c r="G101" s="9" t="n">
        <v>5</v>
      </c>
      <c r="H101" s="10" t="n"/>
      <c r="I101" s="10" t="n"/>
      <c r="J101" s="9">
        <f>G101-I101+H101</f>
        <v/>
      </c>
      <c r="K101" s="213" t="n">
        <v>34</v>
      </c>
      <c r="L101" s="84" t="inlineStr">
        <is>
          <t>trente-quatre euros</t>
        </is>
      </c>
      <c r="M101" s="195">
        <f>ROUND(G101*ROUND(K101,2),2)</f>
        <v/>
      </c>
      <c r="N101" s="196" t="n">
        <v>0.21</v>
      </c>
      <c r="O101" s="197">
        <f>ROUND(N101*ROUND(M101,2),2)</f>
        <v/>
      </c>
      <c r="P101" s="10" t="n"/>
      <c r="Q101" s="9" t="inlineStr">
        <is>
          <t>Non</t>
        </is>
      </c>
      <c r="R101" s="103" t="n">
        <v>6</v>
      </c>
    </row>
    <row r="102">
      <c r="A102" s="9" t="n">
        <v>79</v>
      </c>
      <c r="B102" s="82" t="inlineStr"/>
      <c r="C102" s="82" t="inlineStr"/>
      <c r="D102" s="83" t="inlineStr">
        <is>
          <t>&gt; 1 m² et &lt;= 2 m²</t>
        </is>
      </c>
      <c r="E102" s="9" t="inlineStr">
        <is>
          <t>QP</t>
        </is>
      </c>
      <c r="F102" s="9" t="inlineStr">
        <is>
          <t>m²</t>
        </is>
      </c>
      <c r="G102" s="9" t="n">
        <v>5</v>
      </c>
      <c r="H102" s="10" t="n"/>
      <c r="I102" s="10" t="n"/>
      <c r="J102" s="9">
        <f>G102-I102+H102</f>
        <v/>
      </c>
      <c r="K102" s="213" t="n">
        <v>30</v>
      </c>
      <c r="L102" s="84" t="inlineStr">
        <is>
          <t>trente euros</t>
        </is>
      </c>
      <c r="M102" s="195">
        <f>ROUND(G102*ROUND(K102,2),2)</f>
        <v/>
      </c>
      <c r="N102" s="196" t="n">
        <v>0.21</v>
      </c>
      <c r="O102" s="197">
        <f>ROUND(N102*ROUND(M102,2),2)</f>
        <v/>
      </c>
      <c r="P102" s="10" t="n"/>
      <c r="Q102" s="9" t="inlineStr">
        <is>
          <t>Non</t>
        </is>
      </c>
      <c r="R102" s="103" t="n">
        <v>6</v>
      </c>
    </row>
    <row r="103">
      <c r="A103" s="9" t="n">
        <v>80</v>
      </c>
      <c r="B103" s="82" t="inlineStr"/>
      <c r="C103" s="82" t="inlineStr"/>
      <c r="D103" s="83" t="inlineStr">
        <is>
          <t>&gt; 2 m² et &lt;= 5 m²</t>
        </is>
      </c>
      <c r="E103" s="9" t="inlineStr">
        <is>
          <t>QP</t>
        </is>
      </c>
      <c r="F103" s="9" t="inlineStr">
        <is>
          <t>m²</t>
        </is>
      </c>
      <c r="G103" s="9" t="n">
        <v>5</v>
      </c>
      <c r="H103" s="10" t="n"/>
      <c r="I103" s="10" t="n"/>
      <c r="J103" s="9">
        <f>G103-I103+H103</f>
        <v/>
      </c>
      <c r="K103" s="213" t="n">
        <v>27</v>
      </c>
      <c r="L103" s="84" t="inlineStr">
        <is>
          <t>vingt-sept euros</t>
        </is>
      </c>
      <c r="M103" s="195">
        <f>ROUND(G103*ROUND(K103,2),2)</f>
        <v/>
      </c>
      <c r="N103" s="196" t="n">
        <v>0.21</v>
      </c>
      <c r="O103" s="197">
        <f>ROUND(N103*ROUND(M103,2),2)</f>
        <v/>
      </c>
      <c r="P103" s="10" t="n"/>
      <c r="Q103" s="9" t="inlineStr">
        <is>
          <t>Non</t>
        </is>
      </c>
      <c r="R103" s="103" t="n">
        <v>6</v>
      </c>
    </row>
    <row r="104">
      <c r="A104" s="9" t="n">
        <v>81</v>
      </c>
      <c r="B104" s="82" t="inlineStr"/>
      <c r="C104" s="82" t="inlineStr"/>
      <c r="D104" s="83" t="inlineStr">
        <is>
          <t>&gt; 5 m² et &lt;= 10 m²</t>
        </is>
      </c>
      <c r="E104" s="9" t="inlineStr">
        <is>
          <t>QP</t>
        </is>
      </c>
      <c r="F104" s="9" t="inlineStr">
        <is>
          <t>m²</t>
        </is>
      </c>
      <c r="G104" s="9" t="n">
        <v>5</v>
      </c>
      <c r="H104" s="10" t="n"/>
      <c r="I104" s="10" t="n"/>
      <c r="J104" s="9">
        <f>G104-I104+H104</f>
        <v/>
      </c>
      <c r="K104" s="213" t="n">
        <v>24</v>
      </c>
      <c r="L104" s="84" t="inlineStr">
        <is>
          <t>vingt-quatre euros</t>
        </is>
      </c>
      <c r="M104" s="195">
        <f>ROUND(G104*ROUND(K104,2),2)</f>
        <v/>
      </c>
      <c r="N104" s="196" t="n">
        <v>0.21</v>
      </c>
      <c r="O104" s="197">
        <f>ROUND(N104*ROUND(M104,2),2)</f>
        <v/>
      </c>
      <c r="P104" s="10" t="n"/>
      <c r="Q104" s="9" t="inlineStr">
        <is>
          <t>Non</t>
        </is>
      </c>
      <c r="R104" s="103" t="n">
        <v>6</v>
      </c>
    </row>
    <row r="105">
      <c r="A105" s="9" t="n">
        <v>82</v>
      </c>
      <c r="B105" s="82" t="inlineStr"/>
      <c r="C105" s="82" t="inlineStr"/>
      <c r="D105" s="83" t="inlineStr">
        <is>
          <t>&gt; 10 m² et &lt;= 25 m²</t>
        </is>
      </c>
      <c r="E105" s="9" t="inlineStr">
        <is>
          <t>QP</t>
        </is>
      </c>
      <c r="F105" s="9" t="inlineStr">
        <is>
          <t>m²</t>
        </is>
      </c>
      <c r="G105" s="9" t="n">
        <v>5</v>
      </c>
      <c r="H105" s="10" t="n"/>
      <c r="I105" s="10" t="n"/>
      <c r="J105" s="9">
        <f>G105-I105+H105</f>
        <v/>
      </c>
      <c r="K105" s="213" t="n">
        <v>22</v>
      </c>
      <c r="L105" s="84" t="inlineStr">
        <is>
          <t>vingt-deux euros</t>
        </is>
      </c>
      <c r="M105" s="195">
        <f>ROUND(G105*ROUND(K105,2),2)</f>
        <v/>
      </c>
      <c r="N105" s="196" t="n">
        <v>0.21</v>
      </c>
      <c r="O105" s="197">
        <f>ROUND(N105*ROUND(M105,2),2)</f>
        <v/>
      </c>
      <c r="P105" s="10" t="n"/>
      <c r="Q105" s="9" t="inlineStr">
        <is>
          <t>Non</t>
        </is>
      </c>
      <c r="R105" s="103" t="n">
        <v>6</v>
      </c>
    </row>
    <row r="106">
      <c r="A106" s="9" t="n">
        <v>83</v>
      </c>
      <c r="B106" s="82" t="inlineStr"/>
      <c r="C106" s="82" t="inlineStr"/>
      <c r="D106" s="83" t="inlineStr">
        <is>
          <t>&gt; 25 m²</t>
        </is>
      </c>
      <c r="E106" s="9" t="inlineStr">
        <is>
          <t>QP</t>
        </is>
      </c>
      <c r="F106" s="9" t="inlineStr">
        <is>
          <t>m²</t>
        </is>
      </c>
      <c r="G106" s="9" t="n">
        <v>5</v>
      </c>
      <c r="H106" s="10" t="n"/>
      <c r="I106" s="10" t="n"/>
      <c r="J106" s="9">
        <f>G106-I106+H106</f>
        <v/>
      </c>
      <c r="K106" s="213" t="n">
        <v>20</v>
      </c>
      <c r="L106" s="84" t="inlineStr">
        <is>
          <t>vingt euros</t>
        </is>
      </c>
      <c r="M106" s="195">
        <f>ROUND(G106*ROUND(K106,2),2)</f>
        <v/>
      </c>
      <c r="N106" s="196" t="n">
        <v>0.21</v>
      </c>
      <c r="O106" s="197">
        <f>ROUND(N106*ROUND(M106,2),2)</f>
        <v/>
      </c>
      <c r="P106" s="10" t="n"/>
      <c r="Q106" s="9" t="inlineStr">
        <is>
          <t>Non</t>
        </is>
      </c>
      <c r="R106" s="103" t="n">
        <v>6</v>
      </c>
    </row>
    <row r="107" ht="13.2" customFormat="1" customHeight="1" s="71">
      <c r="A107" s="8" t="n"/>
      <c r="B107" s="76" t="inlineStr"/>
      <c r="C107" s="76" t="inlineStr"/>
      <c r="D107" s="77" t="inlineStr">
        <is>
          <t>SUPPORT DIBOND</t>
        </is>
      </c>
      <c r="E107" s="8" t="inlineStr"/>
      <c r="F107" s="8" t="n"/>
      <c r="G107" s="8" t="n"/>
      <c r="H107" s="11" t="n"/>
      <c r="I107" s="11" t="n"/>
      <c r="J107" s="8" t="n"/>
      <c r="K107" s="198" t="n"/>
      <c r="L107" s="78" t="n"/>
      <c r="M107" s="210" t="n"/>
      <c r="N107" s="211" t="n"/>
      <c r="O107" s="212" t="n"/>
      <c r="P107" s="11" t="n"/>
      <c r="Q107" s="8" t="n"/>
      <c r="R107" s="102" t="n"/>
    </row>
    <row r="108" ht="20.4" customFormat="1" customHeight="1" s="71">
      <c r="A108" s="8" t="n"/>
      <c r="B108" s="76" t="inlineStr"/>
      <c r="C108" s="76" t="inlineStr"/>
      <c r="D108" s="77" t="inlineStr">
        <is>
          <t>Impression noir ou quadrichromie sur dibond 2mm</t>
        </is>
      </c>
      <c r="E108" s="8" t="inlineStr"/>
      <c r="F108" s="8" t="n"/>
      <c r="G108" s="8" t="n"/>
      <c r="H108" s="11" t="n"/>
      <c r="I108" s="11" t="n"/>
      <c r="J108" s="8" t="n"/>
      <c r="K108" s="198" t="n"/>
      <c r="L108" s="78" t="n"/>
      <c r="M108" s="210" t="n"/>
      <c r="N108" s="211" t="n"/>
      <c r="O108" s="212" t="n"/>
      <c r="P108" s="11" t="n"/>
      <c r="Q108" s="8" t="n"/>
      <c r="R108" s="102" t="n"/>
    </row>
    <row r="109">
      <c r="A109" s="9" t="n">
        <v>84</v>
      </c>
      <c r="B109" s="82" t="inlineStr"/>
      <c r="C109" s="82" t="inlineStr"/>
      <c r="D109" s="83" t="inlineStr">
        <is>
          <t>&gt;= A2 et &lt;= 1 m²</t>
        </is>
      </c>
      <c r="E109" s="9" t="inlineStr">
        <is>
          <t>QP</t>
        </is>
      </c>
      <c r="F109" s="9" t="inlineStr">
        <is>
          <t>m²</t>
        </is>
      </c>
      <c r="G109" s="9" t="n">
        <v>5</v>
      </c>
      <c r="H109" s="10" t="n"/>
      <c r="I109" s="10" t="n"/>
      <c r="J109" s="9">
        <f>G109-I109+H109</f>
        <v/>
      </c>
      <c r="K109" s="213" t="n">
        <v>85</v>
      </c>
      <c r="L109" s="84" t="inlineStr">
        <is>
          <t>quatre-vingt-cinq euros</t>
        </is>
      </c>
      <c r="M109" s="195">
        <f>ROUND(G109*ROUND(K109,2),2)</f>
        <v/>
      </c>
      <c r="N109" s="196" t="n">
        <v>0.21</v>
      </c>
      <c r="O109" s="197">
        <f>ROUND(N109*ROUND(M109,2),2)</f>
        <v/>
      </c>
      <c r="P109" s="10" t="n"/>
      <c r="Q109" s="9" t="inlineStr">
        <is>
          <t>Non</t>
        </is>
      </c>
      <c r="R109" s="103" t="n">
        <v>6</v>
      </c>
    </row>
    <row r="110">
      <c r="A110" s="9" t="n">
        <v>85</v>
      </c>
      <c r="B110" s="82" t="inlineStr"/>
      <c r="C110" s="82" t="inlineStr"/>
      <c r="D110" s="83" t="inlineStr">
        <is>
          <t>&gt; 1 m² et &lt;= 2 m²</t>
        </is>
      </c>
      <c r="E110" s="9" t="inlineStr">
        <is>
          <t>QP</t>
        </is>
      </c>
      <c r="F110" s="9" t="inlineStr">
        <is>
          <t>m²</t>
        </is>
      </c>
      <c r="G110" s="9" t="n">
        <v>5</v>
      </c>
      <c r="H110" s="10" t="n"/>
      <c r="I110" s="10" t="n"/>
      <c r="J110" s="9">
        <f>G110-I110+H110</f>
        <v/>
      </c>
      <c r="K110" s="213" t="n">
        <v>74</v>
      </c>
      <c r="L110" s="84" t="inlineStr">
        <is>
          <t>soixante-quatorze euros</t>
        </is>
      </c>
      <c r="M110" s="195">
        <f>ROUND(G110*ROUND(K110,2),2)</f>
        <v/>
      </c>
      <c r="N110" s="196" t="n">
        <v>0.21</v>
      </c>
      <c r="O110" s="197">
        <f>ROUND(N110*ROUND(M110,2),2)</f>
        <v/>
      </c>
      <c r="P110" s="10" t="n"/>
      <c r="Q110" s="9" t="inlineStr">
        <is>
          <t>Non</t>
        </is>
      </c>
      <c r="R110" s="103" t="n">
        <v>6</v>
      </c>
    </row>
    <row r="111">
      <c r="A111" s="9" t="n">
        <v>86</v>
      </c>
      <c r="B111" s="82" t="inlineStr"/>
      <c r="C111" s="82" t="inlineStr"/>
      <c r="D111" s="83" t="inlineStr">
        <is>
          <t>&gt; 2 m² et &lt;= 5 m²</t>
        </is>
      </c>
      <c r="E111" s="9" t="inlineStr">
        <is>
          <t>QP</t>
        </is>
      </c>
      <c r="F111" s="9" t="inlineStr">
        <is>
          <t>m²</t>
        </is>
      </c>
      <c r="G111" s="9" t="n">
        <v>5</v>
      </c>
      <c r="H111" s="10" t="n"/>
      <c r="I111" s="10" t="n"/>
      <c r="J111" s="9">
        <f>G111-I111+H111</f>
        <v/>
      </c>
      <c r="K111" s="213" t="n">
        <v>66</v>
      </c>
      <c r="L111" s="84" t="inlineStr">
        <is>
          <t>soixante-six euros</t>
        </is>
      </c>
      <c r="M111" s="195">
        <f>ROUND(G111*ROUND(K111,2),2)</f>
        <v/>
      </c>
      <c r="N111" s="196" t="n">
        <v>0.21</v>
      </c>
      <c r="O111" s="197">
        <f>ROUND(N111*ROUND(M111,2),2)</f>
        <v/>
      </c>
      <c r="P111" s="10" t="n"/>
      <c r="Q111" s="9" t="inlineStr">
        <is>
          <t>Non</t>
        </is>
      </c>
      <c r="R111" s="103" t="n">
        <v>6</v>
      </c>
    </row>
    <row r="112">
      <c r="A112" s="9" t="n">
        <v>87</v>
      </c>
      <c r="B112" s="82" t="inlineStr"/>
      <c r="C112" s="82" t="inlineStr"/>
      <c r="D112" s="83" t="inlineStr">
        <is>
          <t>&gt; 5 m² et &lt;= 10 m²</t>
        </is>
      </c>
      <c r="E112" s="9" t="inlineStr">
        <is>
          <t>QP</t>
        </is>
      </c>
      <c r="F112" s="9" t="inlineStr">
        <is>
          <t>m²</t>
        </is>
      </c>
      <c r="G112" s="9" t="n">
        <v>5</v>
      </c>
      <c r="H112" s="10" t="n"/>
      <c r="I112" s="10" t="n"/>
      <c r="J112" s="9">
        <f>G112-I112+H112</f>
        <v/>
      </c>
      <c r="K112" s="213" t="n">
        <v>59</v>
      </c>
      <c r="L112" s="84" t="inlineStr">
        <is>
          <t>cinquante-neuf euros</t>
        </is>
      </c>
      <c r="M112" s="195">
        <f>ROUND(G112*ROUND(K112,2),2)</f>
        <v/>
      </c>
      <c r="N112" s="196" t="n">
        <v>0.21</v>
      </c>
      <c r="O112" s="197">
        <f>ROUND(N112*ROUND(M112,2),2)</f>
        <v/>
      </c>
      <c r="P112" s="10" t="n"/>
      <c r="Q112" s="9" t="inlineStr">
        <is>
          <t>Non</t>
        </is>
      </c>
      <c r="R112" s="103" t="n">
        <v>6</v>
      </c>
    </row>
    <row r="113">
      <c r="A113" s="9" t="n">
        <v>88</v>
      </c>
      <c r="B113" s="82" t="inlineStr"/>
      <c r="C113" s="82" t="inlineStr"/>
      <c r="D113" s="83" t="inlineStr">
        <is>
          <t>&gt; 10 m² et &lt;= 25 m²</t>
        </is>
      </c>
      <c r="E113" s="9" t="inlineStr">
        <is>
          <t>QP</t>
        </is>
      </c>
      <c r="F113" s="9" t="inlineStr">
        <is>
          <t>m²</t>
        </is>
      </c>
      <c r="G113" s="9" t="n">
        <v>5</v>
      </c>
      <c r="H113" s="10" t="n"/>
      <c r="I113" s="10" t="n"/>
      <c r="J113" s="9">
        <f>G113-I113+H113</f>
        <v/>
      </c>
      <c r="K113" s="213" t="n">
        <v>53</v>
      </c>
      <c r="L113" s="84" t="inlineStr">
        <is>
          <t>cinquante-trois euros</t>
        </is>
      </c>
      <c r="M113" s="195">
        <f>ROUND(G113*ROUND(K113,2),2)</f>
        <v/>
      </c>
      <c r="N113" s="196" t="n">
        <v>0.21</v>
      </c>
      <c r="O113" s="197">
        <f>ROUND(N113*ROUND(M113,2),2)</f>
        <v/>
      </c>
      <c r="P113" s="10" t="n"/>
      <c r="Q113" s="9" t="inlineStr">
        <is>
          <t>Non</t>
        </is>
      </c>
      <c r="R113" s="103" t="n">
        <v>6</v>
      </c>
    </row>
    <row r="114">
      <c r="A114" s="9" t="n">
        <v>89</v>
      </c>
      <c r="B114" s="82" t="inlineStr"/>
      <c r="C114" s="82" t="inlineStr"/>
      <c r="D114" s="83" t="inlineStr">
        <is>
          <t>&gt; 25 m²</t>
        </is>
      </c>
      <c r="E114" s="9" t="inlineStr">
        <is>
          <t>QP</t>
        </is>
      </c>
      <c r="F114" s="9" t="inlineStr">
        <is>
          <t>m²</t>
        </is>
      </c>
      <c r="G114" s="9" t="n">
        <v>5</v>
      </c>
      <c r="H114" s="10" t="n"/>
      <c r="I114" s="10" t="n"/>
      <c r="J114" s="9">
        <f>G114-I114+H114</f>
        <v/>
      </c>
      <c r="K114" s="213" t="n">
        <v>48</v>
      </c>
      <c r="L114" s="84" t="inlineStr">
        <is>
          <t>quarante-huit euros</t>
        </is>
      </c>
      <c r="M114" s="195">
        <f>ROUND(G114*ROUND(K114,2),2)</f>
        <v/>
      </c>
      <c r="N114" s="196" t="n">
        <v>0.21</v>
      </c>
      <c r="O114" s="197">
        <f>ROUND(N114*ROUND(M114,2),2)</f>
        <v/>
      </c>
      <c r="P114" s="10" t="n"/>
      <c r="Q114" s="9" t="inlineStr">
        <is>
          <t>Non</t>
        </is>
      </c>
      <c r="R114" s="103" t="n">
        <v>6</v>
      </c>
    </row>
    <row r="115" ht="20.4" customFormat="1" customHeight="1" s="71">
      <c r="A115" s="8" t="n"/>
      <c r="B115" s="76" t="inlineStr"/>
      <c r="C115" s="76" t="inlineStr"/>
      <c r="D115" s="77" t="inlineStr">
        <is>
          <t>Impression noir ou quadrichromie sur dibond 3mm</t>
        </is>
      </c>
      <c r="E115" s="8" t="inlineStr"/>
      <c r="F115" s="8" t="n"/>
      <c r="G115" s="8" t="n"/>
      <c r="H115" s="11" t="n"/>
      <c r="I115" s="11" t="n"/>
      <c r="J115" s="8" t="n"/>
      <c r="K115" s="198" t="n"/>
      <c r="L115" s="78" t="n"/>
      <c r="M115" s="210" t="n"/>
      <c r="N115" s="211" t="n"/>
      <c r="O115" s="212" t="n"/>
      <c r="P115" s="11" t="n"/>
      <c r="Q115" s="8" t="n"/>
      <c r="R115" s="102" t="n"/>
    </row>
    <row r="116">
      <c r="A116" s="9" t="n">
        <v>90</v>
      </c>
      <c r="B116" s="82" t="inlineStr"/>
      <c r="C116" s="82" t="inlineStr"/>
      <c r="D116" s="83" t="inlineStr">
        <is>
          <t>&gt;= A2 et &lt;= 1 m²</t>
        </is>
      </c>
      <c r="E116" s="9" t="inlineStr">
        <is>
          <t>QP</t>
        </is>
      </c>
      <c r="F116" s="9" t="inlineStr">
        <is>
          <t>m²</t>
        </is>
      </c>
      <c r="G116" s="9" t="n">
        <v>5</v>
      </c>
      <c r="H116" s="10" t="n"/>
      <c r="I116" s="10" t="n"/>
      <c r="J116" s="9">
        <f>G116-I116+H116</f>
        <v/>
      </c>
      <c r="K116" s="213" t="n">
        <v>95</v>
      </c>
      <c r="L116" s="84" t="inlineStr">
        <is>
          <t>quatre-vingt-quinze euros</t>
        </is>
      </c>
      <c r="M116" s="195">
        <f>ROUND(G116*ROUND(K116,2),2)</f>
        <v/>
      </c>
      <c r="N116" s="196" t="n">
        <v>0.21</v>
      </c>
      <c r="O116" s="197">
        <f>ROUND(N116*ROUND(M116,2),2)</f>
        <v/>
      </c>
      <c r="P116" s="10" t="n"/>
      <c r="Q116" s="9" t="inlineStr">
        <is>
          <t>Non</t>
        </is>
      </c>
      <c r="R116" s="103" t="n">
        <v>6</v>
      </c>
    </row>
    <row r="117">
      <c r="A117" s="9" t="n">
        <v>91</v>
      </c>
      <c r="B117" s="82" t="inlineStr"/>
      <c r="C117" s="82" t="inlineStr"/>
      <c r="D117" s="83" t="inlineStr">
        <is>
          <t>&gt; 1 m² et &lt;= 2 m²</t>
        </is>
      </c>
      <c r="E117" s="9" t="inlineStr">
        <is>
          <t>QP</t>
        </is>
      </c>
      <c r="F117" s="9" t="inlineStr">
        <is>
          <t>m²</t>
        </is>
      </c>
      <c r="G117" s="9" t="n">
        <v>5</v>
      </c>
      <c r="H117" s="10" t="n"/>
      <c r="I117" s="10" t="n"/>
      <c r="J117" s="9">
        <f>G117-I117+H117</f>
        <v/>
      </c>
      <c r="K117" s="213" t="n">
        <v>83</v>
      </c>
      <c r="L117" s="84" t="inlineStr">
        <is>
          <t>quatre-vingt-trois euros</t>
        </is>
      </c>
      <c r="M117" s="195">
        <f>ROUND(G117*ROUND(K117,2),2)</f>
        <v/>
      </c>
      <c r="N117" s="196" t="n">
        <v>0.21</v>
      </c>
      <c r="O117" s="197">
        <f>ROUND(N117*ROUND(M117,2),2)</f>
        <v/>
      </c>
      <c r="P117" s="10" t="n"/>
      <c r="Q117" s="9" t="inlineStr">
        <is>
          <t>Non</t>
        </is>
      </c>
      <c r="R117" s="103" t="n">
        <v>6</v>
      </c>
    </row>
    <row r="118">
      <c r="A118" s="9" t="n">
        <v>92</v>
      </c>
      <c r="B118" s="82" t="inlineStr"/>
      <c r="C118" s="82" t="inlineStr"/>
      <c r="D118" s="83" t="inlineStr">
        <is>
          <t>&gt; 2 m² et &lt;= 5 m²</t>
        </is>
      </c>
      <c r="E118" s="9" t="inlineStr">
        <is>
          <t>QP</t>
        </is>
      </c>
      <c r="F118" s="9" t="inlineStr">
        <is>
          <t>m²</t>
        </is>
      </c>
      <c r="G118" s="9" t="n">
        <v>5</v>
      </c>
      <c r="H118" s="10" t="n"/>
      <c r="I118" s="10" t="n"/>
      <c r="J118" s="9">
        <f>G118-I118+H118</f>
        <v/>
      </c>
      <c r="K118" s="213" t="n">
        <v>74</v>
      </c>
      <c r="L118" s="84" t="inlineStr">
        <is>
          <t>soixante-quatorze euros</t>
        </is>
      </c>
      <c r="M118" s="195">
        <f>ROUND(G118*ROUND(K118,2),2)</f>
        <v/>
      </c>
      <c r="N118" s="196" t="n">
        <v>0.21</v>
      </c>
      <c r="O118" s="197">
        <f>ROUND(N118*ROUND(M118,2),2)</f>
        <v/>
      </c>
      <c r="P118" s="10" t="n"/>
      <c r="Q118" s="9" t="inlineStr">
        <is>
          <t>Non</t>
        </is>
      </c>
      <c r="R118" s="103" t="n">
        <v>6</v>
      </c>
    </row>
    <row r="119">
      <c r="A119" s="9" t="n">
        <v>93</v>
      </c>
      <c r="B119" s="82" t="inlineStr"/>
      <c r="C119" s="82" t="inlineStr"/>
      <c r="D119" s="83" t="inlineStr">
        <is>
          <t>&gt; 5 m² et &lt;= 10 m²</t>
        </is>
      </c>
      <c r="E119" s="9" t="inlineStr">
        <is>
          <t>QP</t>
        </is>
      </c>
      <c r="F119" s="9" t="inlineStr">
        <is>
          <t>m²</t>
        </is>
      </c>
      <c r="G119" s="9" t="n">
        <v>5</v>
      </c>
      <c r="H119" s="10" t="n"/>
      <c r="I119" s="10" t="n"/>
      <c r="J119" s="9">
        <f>G119-I119+H119</f>
        <v/>
      </c>
      <c r="K119" s="213" t="n">
        <v>66</v>
      </c>
      <c r="L119" s="84" t="inlineStr">
        <is>
          <t>soixante-six euros</t>
        </is>
      </c>
      <c r="M119" s="195">
        <f>ROUND(G119*ROUND(K119,2),2)</f>
        <v/>
      </c>
      <c r="N119" s="196" t="n">
        <v>0.21</v>
      </c>
      <c r="O119" s="197">
        <f>ROUND(N119*ROUND(M119,2),2)</f>
        <v/>
      </c>
      <c r="P119" s="10" t="n"/>
      <c r="Q119" s="9" t="inlineStr">
        <is>
          <t>Non</t>
        </is>
      </c>
      <c r="R119" s="103" t="n">
        <v>6</v>
      </c>
    </row>
    <row r="120">
      <c r="A120" s="9" t="n">
        <v>94</v>
      </c>
      <c r="B120" s="82" t="inlineStr"/>
      <c r="C120" s="82" t="inlineStr"/>
      <c r="D120" s="83" t="inlineStr">
        <is>
          <t>&gt; 10 m² et &lt;= 25 m²</t>
        </is>
      </c>
      <c r="E120" s="9" t="inlineStr">
        <is>
          <t>QP</t>
        </is>
      </c>
      <c r="F120" s="9" t="inlineStr">
        <is>
          <t>m²</t>
        </is>
      </c>
      <c r="G120" s="9" t="n">
        <v>5</v>
      </c>
      <c r="H120" s="10" t="n"/>
      <c r="I120" s="10" t="n"/>
      <c r="J120" s="9">
        <f>G120-I120+H120</f>
        <v/>
      </c>
      <c r="K120" s="213" t="n">
        <v>59</v>
      </c>
      <c r="L120" s="84" t="inlineStr">
        <is>
          <t>cinquante-neuf euros</t>
        </is>
      </c>
      <c r="M120" s="195">
        <f>ROUND(G120*ROUND(K120,2),2)</f>
        <v/>
      </c>
      <c r="N120" s="196" t="n">
        <v>0.21</v>
      </c>
      <c r="O120" s="197">
        <f>ROUND(N120*ROUND(M120,2),2)</f>
        <v/>
      </c>
      <c r="P120" s="10" t="n"/>
      <c r="Q120" s="9" t="inlineStr">
        <is>
          <t>Non</t>
        </is>
      </c>
      <c r="R120" s="103" t="n">
        <v>6</v>
      </c>
    </row>
    <row r="121">
      <c r="A121" s="9" t="n">
        <v>95</v>
      </c>
      <c r="B121" s="82" t="inlineStr"/>
      <c r="C121" s="82" t="inlineStr"/>
      <c r="D121" s="83" t="inlineStr">
        <is>
          <t>&gt; 25 m²</t>
        </is>
      </c>
      <c r="E121" s="9" t="inlineStr">
        <is>
          <t>QP</t>
        </is>
      </c>
      <c r="F121" s="9" t="inlineStr">
        <is>
          <t>m²</t>
        </is>
      </c>
      <c r="G121" s="9" t="n">
        <v>5</v>
      </c>
      <c r="H121" s="10" t="n"/>
      <c r="I121" s="10" t="n"/>
      <c r="J121" s="9">
        <f>G121-I121+H121</f>
        <v/>
      </c>
      <c r="K121" s="213" t="n">
        <v>54</v>
      </c>
      <c r="L121" s="84" t="inlineStr">
        <is>
          <t>cinquante-quatre euros</t>
        </is>
      </c>
      <c r="M121" s="195">
        <f>ROUND(G121*ROUND(K121,2),2)</f>
        <v/>
      </c>
      <c r="N121" s="196" t="n">
        <v>0.21</v>
      </c>
      <c r="O121" s="197">
        <f>ROUND(N121*ROUND(M121,2),2)</f>
        <v/>
      </c>
      <c r="P121" s="10" t="n"/>
      <c r="Q121" s="9" t="inlineStr">
        <is>
          <t>Non</t>
        </is>
      </c>
      <c r="R121" s="103" t="n">
        <v>6</v>
      </c>
    </row>
    <row r="122" ht="30.6" customFormat="1" customHeight="1" s="71">
      <c r="A122" s="8" t="n"/>
      <c r="B122" s="76" t="inlineStr"/>
      <c r="C122" s="76" t="inlineStr"/>
      <c r="D122" s="77" t="inlineStr">
        <is>
          <t>DECOUPE LETTRAGE VINYLE AUTOCOLLANT ( couleur ou noir avec film d'application compris)</t>
        </is>
      </c>
      <c r="E122" s="8" t="inlineStr"/>
      <c r="F122" s="8" t="n"/>
      <c r="G122" s="8" t="n"/>
      <c r="H122" s="11" t="n"/>
      <c r="I122" s="11" t="n"/>
      <c r="J122" s="8" t="n"/>
      <c r="K122" s="198" t="n"/>
      <c r="L122" s="78" t="n"/>
      <c r="M122" s="210" t="n"/>
      <c r="N122" s="211" t="n"/>
      <c r="O122" s="212" t="n"/>
      <c r="P122" s="11" t="n"/>
      <c r="Q122" s="8" t="n"/>
      <c r="R122" s="102" t="n"/>
    </row>
    <row r="123" ht="13.2" customFormat="1" customHeight="1" s="71">
      <c r="A123" s="8" t="n"/>
      <c r="B123" s="76" t="inlineStr"/>
      <c r="C123" s="76" t="inlineStr"/>
      <c r="D123" s="77" t="inlineStr">
        <is>
          <t>2cm</t>
        </is>
      </c>
      <c r="E123" s="8" t="inlineStr"/>
      <c r="F123" s="8" t="n"/>
      <c r="G123" s="8" t="n"/>
      <c r="H123" s="11" t="n"/>
      <c r="I123" s="11" t="n"/>
      <c r="J123" s="8" t="n"/>
      <c r="K123" s="198" t="n"/>
      <c r="L123" s="78" t="n"/>
      <c r="M123" s="210" t="n"/>
      <c r="N123" s="211" t="n"/>
      <c r="O123" s="212" t="n"/>
      <c r="P123" s="11" t="n"/>
      <c r="Q123" s="8" t="n"/>
      <c r="R123" s="102" t="n"/>
    </row>
    <row r="124">
      <c r="A124" s="9" t="n">
        <v>96</v>
      </c>
      <c r="B124" s="82" t="inlineStr"/>
      <c r="C124" s="82" t="inlineStr"/>
      <c r="D124" s="83" t="inlineStr">
        <is>
          <t>&gt;= A2 et &lt;= 1 m²</t>
        </is>
      </c>
      <c r="E124" s="9" t="inlineStr">
        <is>
          <t>QP</t>
        </is>
      </c>
      <c r="F124" s="9" t="inlineStr">
        <is>
          <t>m²</t>
        </is>
      </c>
      <c r="G124" s="9" t="n">
        <v>5</v>
      </c>
      <c r="H124" s="10" t="n"/>
      <c r="I124" s="10" t="n"/>
      <c r="J124" s="9">
        <f>G124-I124+H124</f>
        <v/>
      </c>
      <c r="K124" s="213" t="n">
        <v>85</v>
      </c>
      <c r="L124" s="84" t="inlineStr">
        <is>
          <t>quatre-vingt-cinq euros</t>
        </is>
      </c>
      <c r="M124" s="195">
        <f>ROUND(G124*ROUND(K124,2),2)</f>
        <v/>
      </c>
      <c r="N124" s="196" t="n">
        <v>0.21</v>
      </c>
      <c r="O124" s="197">
        <f>ROUND(N124*ROUND(M124,2),2)</f>
        <v/>
      </c>
      <c r="P124" s="10" t="n"/>
      <c r="Q124" s="9" t="inlineStr">
        <is>
          <t>Non</t>
        </is>
      </c>
      <c r="R124" s="103" t="n">
        <v>6</v>
      </c>
    </row>
    <row r="125">
      <c r="A125" s="9" t="n">
        <v>97</v>
      </c>
      <c r="B125" s="82" t="inlineStr"/>
      <c r="C125" s="82" t="inlineStr"/>
      <c r="D125" s="83" t="inlineStr">
        <is>
          <t>&gt; 1 m² et &lt;= 2 m²</t>
        </is>
      </c>
      <c r="E125" s="9" t="inlineStr">
        <is>
          <t>QP</t>
        </is>
      </c>
      <c r="F125" s="9" t="inlineStr">
        <is>
          <t>m²</t>
        </is>
      </c>
      <c r="G125" s="9" t="n">
        <v>5</v>
      </c>
      <c r="H125" s="10" t="n"/>
      <c r="I125" s="10" t="n"/>
      <c r="J125" s="9">
        <f>G125-I125+H125</f>
        <v/>
      </c>
      <c r="K125" s="213" t="n">
        <v>75</v>
      </c>
      <c r="L125" s="84" t="inlineStr">
        <is>
          <t>soixante-quinze euros</t>
        </is>
      </c>
      <c r="M125" s="195">
        <f>ROUND(G125*ROUND(K125,2),2)</f>
        <v/>
      </c>
      <c r="N125" s="196" t="n">
        <v>0.21</v>
      </c>
      <c r="O125" s="197">
        <f>ROUND(N125*ROUND(M125,2),2)</f>
        <v/>
      </c>
      <c r="P125" s="10" t="n"/>
      <c r="Q125" s="9" t="inlineStr">
        <is>
          <t>Non</t>
        </is>
      </c>
      <c r="R125" s="103" t="n">
        <v>6</v>
      </c>
    </row>
    <row r="126">
      <c r="A126" s="9" t="n">
        <v>98</v>
      </c>
      <c r="B126" s="82" t="inlineStr"/>
      <c r="C126" s="82" t="inlineStr"/>
      <c r="D126" s="83" t="inlineStr">
        <is>
          <t>&gt; 2 m² et &lt;= 5 m²</t>
        </is>
      </c>
      <c r="E126" s="9" t="inlineStr">
        <is>
          <t>QP</t>
        </is>
      </c>
      <c r="F126" s="9" t="inlineStr">
        <is>
          <t>m²</t>
        </is>
      </c>
      <c r="G126" s="9" t="n">
        <v>5</v>
      </c>
      <c r="H126" s="10" t="n"/>
      <c r="I126" s="10" t="n"/>
      <c r="J126" s="9">
        <f>G126-I126+H126</f>
        <v/>
      </c>
      <c r="K126" s="213" t="n">
        <v>68</v>
      </c>
      <c r="L126" s="84" t="inlineStr">
        <is>
          <t>soixante-huit euros</t>
        </is>
      </c>
      <c r="M126" s="195">
        <f>ROUND(G126*ROUND(K126,2),2)</f>
        <v/>
      </c>
      <c r="N126" s="196" t="n">
        <v>0.21</v>
      </c>
      <c r="O126" s="197">
        <f>ROUND(N126*ROUND(M126,2),2)</f>
        <v/>
      </c>
      <c r="P126" s="10" t="n"/>
      <c r="Q126" s="9" t="inlineStr">
        <is>
          <t>Non</t>
        </is>
      </c>
      <c r="R126" s="103" t="n">
        <v>6</v>
      </c>
    </row>
    <row r="127">
      <c r="A127" s="9" t="n">
        <v>99</v>
      </c>
      <c r="B127" s="82" t="inlineStr"/>
      <c r="C127" s="82" t="inlineStr"/>
      <c r="D127" s="83" t="inlineStr">
        <is>
          <t>&gt; 5 m² et &lt;= 10 m²</t>
        </is>
      </c>
      <c r="E127" s="9" t="inlineStr">
        <is>
          <t>QP</t>
        </is>
      </c>
      <c r="F127" s="9" t="inlineStr">
        <is>
          <t>m²</t>
        </is>
      </c>
      <c r="G127" s="9" t="n">
        <v>5</v>
      </c>
      <c r="H127" s="10" t="n"/>
      <c r="I127" s="10" t="n"/>
      <c r="J127" s="9">
        <f>G127-I127+H127</f>
        <v/>
      </c>
      <c r="K127" s="213" t="n">
        <v>62</v>
      </c>
      <c r="L127" s="84" t="inlineStr">
        <is>
          <t>soixante-deux euros</t>
        </is>
      </c>
      <c r="M127" s="195">
        <f>ROUND(G127*ROUND(K127,2),2)</f>
        <v/>
      </c>
      <c r="N127" s="196" t="n">
        <v>0.21</v>
      </c>
      <c r="O127" s="197">
        <f>ROUND(N127*ROUND(M127,2),2)</f>
        <v/>
      </c>
      <c r="P127" s="10" t="n"/>
      <c r="Q127" s="9" t="inlineStr">
        <is>
          <t>Non</t>
        </is>
      </c>
      <c r="R127" s="103" t="n">
        <v>6</v>
      </c>
    </row>
    <row r="128">
      <c r="A128" s="9" t="n">
        <v>100</v>
      </c>
      <c r="B128" s="82" t="inlineStr"/>
      <c r="C128" s="82" t="inlineStr"/>
      <c r="D128" s="83" t="inlineStr">
        <is>
          <t>&gt; 10 m² et &lt;= 25 m²</t>
        </is>
      </c>
      <c r="E128" s="9" t="inlineStr">
        <is>
          <t>QP</t>
        </is>
      </c>
      <c r="F128" s="9" t="inlineStr">
        <is>
          <t>m²</t>
        </is>
      </c>
      <c r="G128" s="9" t="n">
        <v>5</v>
      </c>
      <c r="H128" s="10" t="n"/>
      <c r="I128" s="10" t="n"/>
      <c r="J128" s="9">
        <f>G128-I128+H128</f>
        <v/>
      </c>
      <c r="K128" s="213" t="n">
        <v>56</v>
      </c>
      <c r="L128" s="84" t="inlineStr">
        <is>
          <t>cinquante-six euros</t>
        </is>
      </c>
      <c r="M128" s="195">
        <f>ROUND(G128*ROUND(K128,2),2)</f>
        <v/>
      </c>
      <c r="N128" s="196" t="n">
        <v>0.21</v>
      </c>
      <c r="O128" s="197">
        <f>ROUND(N128*ROUND(M128,2),2)</f>
        <v/>
      </c>
      <c r="P128" s="10" t="n"/>
      <c r="Q128" s="9" t="inlineStr">
        <is>
          <t>Non</t>
        </is>
      </c>
      <c r="R128" s="103" t="n">
        <v>6</v>
      </c>
    </row>
    <row r="129">
      <c r="A129" s="9" t="n">
        <v>101</v>
      </c>
      <c r="B129" s="82" t="inlineStr"/>
      <c r="C129" s="82" t="inlineStr"/>
      <c r="D129" s="83" t="inlineStr">
        <is>
          <t>&gt; 25 m²</t>
        </is>
      </c>
      <c r="E129" s="9" t="inlineStr">
        <is>
          <t>QP</t>
        </is>
      </c>
      <c r="F129" s="9" t="inlineStr">
        <is>
          <t>m²</t>
        </is>
      </c>
      <c r="G129" s="9" t="n">
        <v>5</v>
      </c>
      <c r="H129" s="10" t="n"/>
      <c r="I129" s="10" t="n"/>
      <c r="J129" s="9">
        <f>G129-I129+H129</f>
        <v/>
      </c>
      <c r="K129" s="213" t="n">
        <v>52</v>
      </c>
      <c r="L129" s="84" t="inlineStr">
        <is>
          <t>cinquante-deux euros</t>
        </is>
      </c>
      <c r="M129" s="195">
        <f>ROUND(G129*ROUND(K129,2),2)</f>
        <v/>
      </c>
      <c r="N129" s="196" t="n">
        <v>0.21</v>
      </c>
      <c r="O129" s="197">
        <f>ROUND(N129*ROUND(M129,2),2)</f>
        <v/>
      </c>
      <c r="P129" s="10" t="n"/>
      <c r="Q129" s="9" t="inlineStr">
        <is>
          <t>Non</t>
        </is>
      </c>
      <c r="R129" s="103" t="n">
        <v>6</v>
      </c>
    </row>
    <row r="130" ht="13.2" customFormat="1" customHeight="1" s="71">
      <c r="A130" s="8" t="n"/>
      <c r="B130" s="76" t="inlineStr"/>
      <c r="C130" s="76" t="inlineStr"/>
      <c r="D130" s="77" t="inlineStr">
        <is>
          <t>5cm</t>
        </is>
      </c>
      <c r="E130" s="8" t="inlineStr"/>
      <c r="F130" s="8" t="n"/>
      <c r="G130" s="8" t="n"/>
      <c r="H130" s="11" t="n"/>
      <c r="I130" s="11" t="n"/>
      <c r="J130" s="8" t="n"/>
      <c r="K130" s="198" t="n"/>
      <c r="L130" s="78" t="n"/>
      <c r="M130" s="210" t="n"/>
      <c r="N130" s="211" t="n"/>
      <c r="O130" s="212" t="n"/>
      <c r="P130" s="11" t="n"/>
      <c r="Q130" s="8" t="n"/>
      <c r="R130" s="102" t="n"/>
    </row>
    <row r="131">
      <c r="A131" s="9" t="n">
        <v>102</v>
      </c>
      <c r="B131" s="82" t="inlineStr"/>
      <c r="C131" s="82" t="inlineStr"/>
      <c r="D131" s="83" t="inlineStr">
        <is>
          <t>&gt;= A2 et &lt;= 1 m²</t>
        </is>
      </c>
      <c r="E131" s="9" t="inlineStr">
        <is>
          <t>QP</t>
        </is>
      </c>
      <c r="F131" s="9" t="inlineStr">
        <is>
          <t>m²</t>
        </is>
      </c>
      <c r="G131" s="9" t="n">
        <v>5</v>
      </c>
      <c r="H131" s="10" t="n"/>
      <c r="I131" s="10" t="n"/>
      <c r="J131" s="9">
        <f>G131-I131+H131</f>
        <v/>
      </c>
      <c r="K131" s="213" t="n">
        <v>65</v>
      </c>
      <c r="L131" s="84" t="inlineStr">
        <is>
          <t>soixante-cinq euros</t>
        </is>
      </c>
      <c r="M131" s="195">
        <f>ROUND(G131*ROUND(K131,2),2)</f>
        <v/>
      </c>
      <c r="N131" s="196" t="n">
        <v>0.21</v>
      </c>
      <c r="O131" s="197">
        <f>ROUND(N131*ROUND(M131,2),2)</f>
        <v/>
      </c>
      <c r="P131" s="10" t="n"/>
      <c r="Q131" s="9" t="inlineStr">
        <is>
          <t>Non</t>
        </is>
      </c>
      <c r="R131" s="103" t="n">
        <v>6</v>
      </c>
    </row>
    <row r="132">
      <c r="A132" s="9" t="n">
        <v>103</v>
      </c>
      <c r="B132" s="82" t="inlineStr"/>
      <c r="C132" s="82" t="inlineStr"/>
      <c r="D132" s="83" t="inlineStr">
        <is>
          <t>&gt; 1 m² et &lt;= 2 m²</t>
        </is>
      </c>
      <c r="E132" s="9" t="inlineStr">
        <is>
          <t>QP</t>
        </is>
      </c>
      <c r="F132" s="9" t="inlineStr">
        <is>
          <t>m²</t>
        </is>
      </c>
      <c r="G132" s="9" t="n">
        <v>5</v>
      </c>
      <c r="H132" s="10" t="n"/>
      <c r="I132" s="10" t="n"/>
      <c r="J132" s="9">
        <f>G132-I132+H132</f>
        <v/>
      </c>
      <c r="K132" s="213" t="n">
        <v>58</v>
      </c>
      <c r="L132" s="84" t="inlineStr">
        <is>
          <t>cinquante-huit euros</t>
        </is>
      </c>
      <c r="M132" s="195">
        <f>ROUND(G132*ROUND(K132,2),2)</f>
        <v/>
      </c>
      <c r="N132" s="196" t="n">
        <v>0.21</v>
      </c>
      <c r="O132" s="197">
        <f>ROUND(N132*ROUND(M132,2),2)</f>
        <v/>
      </c>
      <c r="P132" s="10" t="n"/>
      <c r="Q132" s="9" t="inlineStr">
        <is>
          <t>Non</t>
        </is>
      </c>
      <c r="R132" s="103" t="n">
        <v>6</v>
      </c>
    </row>
    <row r="133">
      <c r="A133" s="9" t="n">
        <v>104</v>
      </c>
      <c r="B133" s="82" t="inlineStr"/>
      <c r="C133" s="82" t="inlineStr"/>
      <c r="D133" s="83" t="inlineStr">
        <is>
          <t>&gt; 2 m² et &lt;= 5 m²</t>
        </is>
      </c>
      <c r="E133" s="9" t="inlineStr">
        <is>
          <t>QP</t>
        </is>
      </c>
      <c r="F133" s="9" t="inlineStr">
        <is>
          <t>m²</t>
        </is>
      </c>
      <c r="G133" s="9" t="n">
        <v>5</v>
      </c>
      <c r="H133" s="10" t="n"/>
      <c r="I133" s="10" t="n"/>
      <c r="J133" s="9">
        <f>G133-I133+H133</f>
        <v/>
      </c>
      <c r="K133" s="213" t="n">
        <v>52</v>
      </c>
      <c r="L133" s="84" t="inlineStr">
        <is>
          <t>cinquante-deux euros</t>
        </is>
      </c>
      <c r="M133" s="195">
        <f>ROUND(G133*ROUND(K133,2),2)</f>
        <v/>
      </c>
      <c r="N133" s="196" t="n">
        <v>0.21</v>
      </c>
      <c r="O133" s="197">
        <f>ROUND(N133*ROUND(M133,2),2)</f>
        <v/>
      </c>
      <c r="P133" s="10" t="n"/>
      <c r="Q133" s="9" t="inlineStr">
        <is>
          <t>Non</t>
        </is>
      </c>
      <c r="R133" s="103" t="n">
        <v>6</v>
      </c>
    </row>
    <row r="134">
      <c r="A134" s="9" t="n">
        <v>105</v>
      </c>
      <c r="B134" s="82" t="inlineStr"/>
      <c r="C134" s="82" t="inlineStr"/>
      <c r="D134" s="83" t="inlineStr">
        <is>
          <t>&gt; 5 m² et &lt;= 10 m²</t>
        </is>
      </c>
      <c r="E134" s="9" t="inlineStr">
        <is>
          <t>QP</t>
        </is>
      </c>
      <c r="F134" s="9" t="inlineStr">
        <is>
          <t>m²</t>
        </is>
      </c>
      <c r="G134" s="9" t="n">
        <v>5</v>
      </c>
      <c r="H134" s="10" t="n"/>
      <c r="I134" s="10" t="n"/>
      <c r="J134" s="9">
        <f>G134-I134+H134</f>
        <v/>
      </c>
      <c r="K134" s="213" t="n">
        <v>47</v>
      </c>
      <c r="L134" s="84" t="inlineStr">
        <is>
          <t>quarante-sept euros</t>
        </is>
      </c>
      <c r="M134" s="195">
        <f>ROUND(G134*ROUND(K134,2),2)</f>
        <v/>
      </c>
      <c r="N134" s="196" t="n">
        <v>0.21</v>
      </c>
      <c r="O134" s="197">
        <f>ROUND(N134*ROUND(M134,2),2)</f>
        <v/>
      </c>
      <c r="P134" s="10" t="n"/>
      <c r="Q134" s="9" t="inlineStr">
        <is>
          <t>Non</t>
        </is>
      </c>
      <c r="R134" s="103" t="n">
        <v>6</v>
      </c>
    </row>
    <row r="135">
      <c r="A135" s="9" t="n">
        <v>106</v>
      </c>
      <c r="B135" s="82" t="inlineStr"/>
      <c r="C135" s="82" t="inlineStr"/>
      <c r="D135" s="83" t="inlineStr">
        <is>
          <t>&gt; 10 m² et &lt;= 25 m²</t>
        </is>
      </c>
      <c r="E135" s="9" t="inlineStr">
        <is>
          <t>QP</t>
        </is>
      </c>
      <c r="F135" s="9" t="inlineStr">
        <is>
          <t>m²</t>
        </is>
      </c>
      <c r="G135" s="9" t="n">
        <v>5</v>
      </c>
      <c r="H135" s="10" t="n"/>
      <c r="I135" s="10" t="n"/>
      <c r="J135" s="9">
        <f>G135-I135+H135</f>
        <v/>
      </c>
      <c r="K135" s="213" t="n">
        <v>43</v>
      </c>
      <c r="L135" s="84" t="inlineStr">
        <is>
          <t>quarante-trois euros</t>
        </is>
      </c>
      <c r="M135" s="195">
        <f>ROUND(G135*ROUND(K135,2),2)</f>
        <v/>
      </c>
      <c r="N135" s="196" t="n">
        <v>0.21</v>
      </c>
      <c r="O135" s="197">
        <f>ROUND(N135*ROUND(M135,2),2)</f>
        <v/>
      </c>
      <c r="P135" s="10" t="n"/>
      <c r="Q135" s="9" t="inlineStr">
        <is>
          <t>Non</t>
        </is>
      </c>
      <c r="R135" s="103" t="n">
        <v>6</v>
      </c>
    </row>
    <row r="136">
      <c r="A136" s="9" t="n">
        <v>107</v>
      </c>
      <c r="B136" s="82" t="inlineStr"/>
      <c r="C136" s="82" t="inlineStr"/>
      <c r="D136" s="83" t="inlineStr">
        <is>
          <t>&gt; 25 m²</t>
        </is>
      </c>
      <c r="E136" s="9" t="inlineStr">
        <is>
          <t>QP</t>
        </is>
      </c>
      <c r="F136" s="9" t="inlineStr">
        <is>
          <t>m²</t>
        </is>
      </c>
      <c r="G136" s="9" t="n">
        <v>5</v>
      </c>
      <c r="H136" s="10" t="n"/>
      <c r="I136" s="10" t="n"/>
      <c r="J136" s="9">
        <f>G136-I136+H136</f>
        <v/>
      </c>
      <c r="K136" s="213" t="n">
        <v>40</v>
      </c>
      <c r="L136" s="84" t="inlineStr">
        <is>
          <t>quarante euros</t>
        </is>
      </c>
      <c r="M136" s="195">
        <f>ROUND(G136*ROUND(K136,2),2)</f>
        <v/>
      </c>
      <c r="N136" s="196" t="n">
        <v>0.21</v>
      </c>
      <c r="O136" s="197">
        <f>ROUND(N136*ROUND(M136,2),2)</f>
        <v/>
      </c>
      <c r="P136" s="10" t="n"/>
      <c r="Q136" s="9" t="inlineStr">
        <is>
          <t>Non</t>
        </is>
      </c>
      <c r="R136" s="103" t="n">
        <v>6</v>
      </c>
    </row>
    <row r="137" ht="13.2" customFormat="1" customHeight="1" s="71">
      <c r="A137" s="8" t="n"/>
      <c r="B137" s="76" t="inlineStr"/>
      <c r="C137" s="76" t="inlineStr"/>
      <c r="D137" s="77" t="inlineStr">
        <is>
          <t>10 cm</t>
        </is>
      </c>
      <c r="E137" s="8" t="inlineStr"/>
      <c r="F137" s="8" t="n"/>
      <c r="G137" s="8" t="n"/>
      <c r="H137" s="11" t="n"/>
      <c r="I137" s="11" t="n"/>
      <c r="J137" s="8" t="n"/>
      <c r="K137" s="198" t="n"/>
      <c r="L137" s="78" t="n"/>
      <c r="M137" s="210" t="n"/>
      <c r="N137" s="211" t="n"/>
      <c r="O137" s="212" t="n"/>
      <c r="P137" s="11" t="n"/>
      <c r="Q137" s="8" t="n"/>
      <c r="R137" s="102" t="n"/>
    </row>
    <row r="138">
      <c r="A138" s="9" t="n">
        <v>108</v>
      </c>
      <c r="B138" s="82" t="inlineStr"/>
      <c r="C138" s="82" t="inlineStr"/>
      <c r="D138" s="83" t="inlineStr">
        <is>
          <t>&gt;= A2 et &lt;= 1 m²</t>
        </is>
      </c>
      <c r="E138" s="9" t="inlineStr">
        <is>
          <t>QP</t>
        </is>
      </c>
      <c r="F138" s="9" t="inlineStr">
        <is>
          <t>m²</t>
        </is>
      </c>
      <c r="G138" s="9" t="n">
        <v>5</v>
      </c>
      <c r="H138" s="10" t="n"/>
      <c r="I138" s="10" t="n"/>
      <c r="J138" s="9">
        <f>G138-I138+H138</f>
        <v/>
      </c>
      <c r="K138" s="213" t="n">
        <v>52</v>
      </c>
      <c r="L138" s="84" t="inlineStr">
        <is>
          <t>cinquante-deux euros</t>
        </is>
      </c>
      <c r="M138" s="195">
        <f>ROUND(G138*ROUND(K138,2),2)</f>
        <v/>
      </c>
      <c r="N138" s="196" t="n">
        <v>0.21</v>
      </c>
      <c r="O138" s="197">
        <f>ROUND(N138*ROUND(M138,2),2)</f>
        <v/>
      </c>
      <c r="P138" s="10" t="n"/>
      <c r="Q138" s="9" t="inlineStr">
        <is>
          <t>Non</t>
        </is>
      </c>
      <c r="R138" s="103" t="n">
        <v>6</v>
      </c>
    </row>
    <row r="139">
      <c r="A139" s="9" t="n">
        <v>109</v>
      </c>
      <c r="B139" s="82" t="inlineStr"/>
      <c r="C139" s="82" t="inlineStr"/>
      <c r="D139" s="83" t="inlineStr">
        <is>
          <t>&gt; 1 m² et &lt;= 2 m²</t>
        </is>
      </c>
      <c r="E139" s="9" t="inlineStr">
        <is>
          <t>QP</t>
        </is>
      </c>
      <c r="F139" s="9" t="inlineStr">
        <is>
          <t>m²</t>
        </is>
      </c>
      <c r="G139" s="9" t="n">
        <v>5</v>
      </c>
      <c r="H139" s="10" t="n"/>
      <c r="I139" s="10" t="n"/>
      <c r="J139" s="9">
        <f>G139-I139+H139</f>
        <v/>
      </c>
      <c r="K139" s="213" t="n">
        <v>46</v>
      </c>
      <c r="L139" s="84" t="inlineStr">
        <is>
          <t>quarante-six euros</t>
        </is>
      </c>
      <c r="M139" s="195">
        <f>ROUND(G139*ROUND(K139,2),2)</f>
        <v/>
      </c>
      <c r="N139" s="196" t="n">
        <v>0.21</v>
      </c>
      <c r="O139" s="197">
        <f>ROUND(N139*ROUND(M139,2),2)</f>
        <v/>
      </c>
      <c r="P139" s="10" t="n"/>
      <c r="Q139" s="9" t="inlineStr">
        <is>
          <t>Non</t>
        </is>
      </c>
      <c r="R139" s="103" t="n">
        <v>6</v>
      </c>
    </row>
    <row r="140">
      <c r="A140" s="9" t="n">
        <v>110</v>
      </c>
      <c r="B140" s="82" t="inlineStr"/>
      <c r="C140" s="82" t="inlineStr"/>
      <c r="D140" s="83" t="inlineStr">
        <is>
          <t>&gt; 2 m² et &lt;= 5 m²</t>
        </is>
      </c>
      <c r="E140" s="9" t="inlineStr">
        <is>
          <t>QP</t>
        </is>
      </c>
      <c r="F140" s="9" t="inlineStr">
        <is>
          <t>m²</t>
        </is>
      </c>
      <c r="G140" s="9" t="n">
        <v>5</v>
      </c>
      <c r="H140" s="10" t="n"/>
      <c r="I140" s="10" t="n"/>
      <c r="J140" s="9">
        <f>G140-I140+H140</f>
        <v/>
      </c>
      <c r="K140" s="213" t="n">
        <v>42</v>
      </c>
      <c r="L140" s="84" t="inlineStr">
        <is>
          <t>quarante-deux euros</t>
        </is>
      </c>
      <c r="M140" s="195">
        <f>ROUND(G140*ROUND(K140,2),2)</f>
        <v/>
      </c>
      <c r="N140" s="196" t="n">
        <v>0.21</v>
      </c>
      <c r="O140" s="197">
        <f>ROUND(N140*ROUND(M140,2),2)</f>
        <v/>
      </c>
      <c r="P140" s="10" t="n"/>
      <c r="Q140" s="9" t="inlineStr">
        <is>
          <t>Non</t>
        </is>
      </c>
      <c r="R140" s="103" t="n">
        <v>6</v>
      </c>
    </row>
    <row r="141">
      <c r="A141" s="9" t="n">
        <v>111</v>
      </c>
      <c r="B141" s="82" t="inlineStr"/>
      <c r="C141" s="82" t="inlineStr"/>
      <c r="D141" s="83" t="inlineStr">
        <is>
          <t>&gt; 5 m² et &lt;= 10 m²</t>
        </is>
      </c>
      <c r="E141" s="9" t="inlineStr">
        <is>
          <t>QP</t>
        </is>
      </c>
      <c r="F141" s="9" t="inlineStr">
        <is>
          <t>m²</t>
        </is>
      </c>
      <c r="G141" s="9" t="n">
        <v>5</v>
      </c>
      <c r="H141" s="10" t="n"/>
      <c r="I141" s="10" t="n"/>
      <c r="J141" s="9">
        <f>G141-I141+H141</f>
        <v/>
      </c>
      <c r="K141" s="213" t="n">
        <v>38</v>
      </c>
      <c r="L141" s="84" t="inlineStr">
        <is>
          <t>trente-huit euros</t>
        </is>
      </c>
      <c r="M141" s="195">
        <f>ROUND(G141*ROUND(K141,2),2)</f>
        <v/>
      </c>
      <c r="N141" s="196" t="n">
        <v>0.21</v>
      </c>
      <c r="O141" s="197">
        <f>ROUND(N141*ROUND(M141,2),2)</f>
        <v/>
      </c>
      <c r="P141" s="10" t="n"/>
      <c r="Q141" s="9" t="inlineStr">
        <is>
          <t>Non</t>
        </is>
      </c>
      <c r="R141" s="103" t="n">
        <v>6</v>
      </c>
    </row>
    <row r="142">
      <c r="A142" s="9" t="n">
        <v>112</v>
      </c>
      <c r="B142" s="82" t="inlineStr"/>
      <c r="C142" s="82" t="inlineStr"/>
      <c r="D142" s="83" t="inlineStr">
        <is>
          <t>&gt; 10 m² et &lt;= 25 m²</t>
        </is>
      </c>
      <c r="E142" s="9" t="inlineStr">
        <is>
          <t>QP</t>
        </is>
      </c>
      <c r="F142" s="9" t="inlineStr">
        <is>
          <t>m²</t>
        </is>
      </c>
      <c r="G142" s="9" t="n">
        <v>5</v>
      </c>
      <c r="H142" s="10" t="n"/>
      <c r="I142" s="10" t="n"/>
      <c r="J142" s="9">
        <f>G142-I142+H142</f>
        <v/>
      </c>
      <c r="K142" s="213" t="n">
        <v>35</v>
      </c>
      <c r="L142" s="84" t="inlineStr">
        <is>
          <t>trente-cinq euros</t>
        </is>
      </c>
      <c r="M142" s="195">
        <f>ROUND(G142*ROUND(K142,2),2)</f>
        <v/>
      </c>
      <c r="N142" s="196" t="n">
        <v>0.21</v>
      </c>
      <c r="O142" s="197">
        <f>ROUND(N142*ROUND(M142,2),2)</f>
        <v/>
      </c>
      <c r="P142" s="10" t="n"/>
      <c r="Q142" s="9" t="inlineStr">
        <is>
          <t>Non</t>
        </is>
      </c>
      <c r="R142" s="103" t="n">
        <v>6</v>
      </c>
    </row>
    <row r="143">
      <c r="A143" s="9" t="n">
        <v>113</v>
      </c>
      <c r="B143" s="82" t="inlineStr"/>
      <c r="C143" s="82" t="inlineStr"/>
      <c r="D143" s="83" t="inlineStr">
        <is>
          <t>&gt; 25 m²</t>
        </is>
      </c>
      <c r="E143" s="9" t="inlineStr">
        <is>
          <t>QP</t>
        </is>
      </c>
      <c r="F143" s="9" t="inlineStr">
        <is>
          <t>m²</t>
        </is>
      </c>
      <c r="G143" s="9" t="n">
        <v>5</v>
      </c>
      <c r="H143" s="10" t="n"/>
      <c r="I143" s="10" t="n"/>
      <c r="J143" s="9">
        <f>G143-I143+H143</f>
        <v/>
      </c>
      <c r="K143" s="213" t="n">
        <v>32</v>
      </c>
      <c r="L143" s="84" t="inlineStr">
        <is>
          <t>trente-deux euros</t>
        </is>
      </c>
      <c r="M143" s="195">
        <f>ROUND(G143*ROUND(K143,2),2)</f>
        <v/>
      </c>
      <c r="N143" s="196" t="n">
        <v>0.21</v>
      </c>
      <c r="O143" s="197">
        <f>ROUND(N143*ROUND(M143,2),2)</f>
        <v/>
      </c>
      <c r="P143" s="10" t="n"/>
      <c r="Q143" s="9" t="inlineStr">
        <is>
          <t>Non</t>
        </is>
      </c>
      <c r="R143" s="103" t="n">
        <v>6</v>
      </c>
    </row>
    <row r="144" ht="13.2" customFormat="1" customHeight="1" s="71">
      <c r="A144" s="8" t="n"/>
      <c r="B144" s="76" t="inlineStr"/>
      <c r="C144" s="76" t="inlineStr"/>
      <c r="D144" s="77" t="inlineStr">
        <is>
          <t>20cm</t>
        </is>
      </c>
      <c r="E144" s="8" t="inlineStr"/>
      <c r="F144" s="8" t="n"/>
      <c r="G144" s="8" t="n"/>
      <c r="H144" s="11" t="n"/>
      <c r="I144" s="11" t="n"/>
      <c r="J144" s="8" t="n"/>
      <c r="K144" s="198" t="n"/>
      <c r="L144" s="78" t="n"/>
      <c r="M144" s="210" t="n"/>
      <c r="N144" s="211" t="n"/>
      <c r="O144" s="212" t="n"/>
      <c r="P144" s="11" t="n"/>
      <c r="Q144" s="8" t="n"/>
      <c r="R144" s="102" t="n"/>
    </row>
    <row r="145">
      <c r="A145" s="9" t="n">
        <v>114</v>
      </c>
      <c r="B145" s="82" t="inlineStr"/>
      <c r="C145" s="82" t="inlineStr"/>
      <c r="D145" s="83" t="inlineStr">
        <is>
          <t>&gt;= A2 et &lt;= 1 m²</t>
        </is>
      </c>
      <c r="E145" s="9" t="inlineStr">
        <is>
          <t>QP</t>
        </is>
      </c>
      <c r="F145" s="9" t="inlineStr">
        <is>
          <t>m²</t>
        </is>
      </c>
      <c r="G145" s="9" t="n">
        <v>5</v>
      </c>
      <c r="H145" s="10" t="n"/>
      <c r="I145" s="10" t="n"/>
      <c r="J145" s="9">
        <f>G145-I145+H145</f>
        <v/>
      </c>
      <c r="K145" s="213" t="n">
        <v>42</v>
      </c>
      <c r="L145" s="84" t="inlineStr">
        <is>
          <t>quarante-deux euros</t>
        </is>
      </c>
      <c r="M145" s="195">
        <f>ROUND(G145*ROUND(K145,2),2)</f>
        <v/>
      </c>
      <c r="N145" s="196" t="n">
        <v>0.21</v>
      </c>
      <c r="O145" s="197">
        <f>ROUND(N145*ROUND(M145,2),2)</f>
        <v/>
      </c>
      <c r="P145" s="10" t="n"/>
      <c r="Q145" s="9" t="inlineStr">
        <is>
          <t>Non</t>
        </is>
      </c>
      <c r="R145" s="103" t="n">
        <v>6</v>
      </c>
    </row>
    <row r="146">
      <c r="A146" s="9" t="n">
        <v>115</v>
      </c>
      <c r="B146" s="82" t="inlineStr"/>
      <c r="C146" s="82" t="inlineStr"/>
      <c r="D146" s="83" t="inlineStr">
        <is>
          <t>&gt; 1 m² et &lt;= 2 m²</t>
        </is>
      </c>
      <c r="E146" s="9" t="inlineStr">
        <is>
          <t>QP</t>
        </is>
      </c>
      <c r="F146" s="9" t="inlineStr">
        <is>
          <t>m²</t>
        </is>
      </c>
      <c r="G146" s="9" t="n">
        <v>5</v>
      </c>
      <c r="H146" s="10" t="n"/>
      <c r="I146" s="10" t="n"/>
      <c r="J146" s="9">
        <f>G146-I146+H146</f>
        <v/>
      </c>
      <c r="K146" s="213" t="n">
        <v>37</v>
      </c>
      <c r="L146" s="84" t="inlineStr">
        <is>
          <t>trente-sept euros</t>
        </is>
      </c>
      <c r="M146" s="195">
        <f>ROUND(G146*ROUND(K146,2),2)</f>
        <v/>
      </c>
      <c r="N146" s="196" t="n">
        <v>0.21</v>
      </c>
      <c r="O146" s="197">
        <f>ROUND(N146*ROUND(M146,2),2)</f>
        <v/>
      </c>
      <c r="P146" s="10" t="n"/>
      <c r="Q146" s="9" t="inlineStr">
        <is>
          <t>Non</t>
        </is>
      </c>
      <c r="R146" s="103" t="n">
        <v>6</v>
      </c>
    </row>
    <row r="147">
      <c r="A147" s="9" t="n">
        <v>116</v>
      </c>
      <c r="B147" s="82" t="inlineStr"/>
      <c r="C147" s="82" t="inlineStr"/>
      <c r="D147" s="83" t="inlineStr">
        <is>
          <t>&gt; 2 m² et &lt;= 5 m²</t>
        </is>
      </c>
      <c r="E147" s="9" t="inlineStr">
        <is>
          <t>QP</t>
        </is>
      </c>
      <c r="F147" s="9" t="inlineStr">
        <is>
          <t>m²</t>
        </is>
      </c>
      <c r="G147" s="9" t="n">
        <v>5</v>
      </c>
      <c r="H147" s="10" t="n"/>
      <c r="I147" s="10" t="n"/>
      <c r="J147" s="9">
        <f>G147-I147+H147</f>
        <v/>
      </c>
      <c r="K147" s="213" t="n">
        <v>34</v>
      </c>
      <c r="L147" s="84" t="inlineStr">
        <is>
          <t>trente-quatre euros</t>
        </is>
      </c>
      <c r="M147" s="195">
        <f>ROUND(G147*ROUND(K147,2),2)</f>
        <v/>
      </c>
      <c r="N147" s="196" t="n">
        <v>0.21</v>
      </c>
      <c r="O147" s="197">
        <f>ROUND(N147*ROUND(M147,2),2)</f>
        <v/>
      </c>
      <c r="P147" s="10" t="n"/>
      <c r="Q147" s="9" t="inlineStr">
        <is>
          <t>Non</t>
        </is>
      </c>
      <c r="R147" s="103" t="n">
        <v>6</v>
      </c>
    </row>
    <row r="148">
      <c r="A148" s="9" t="n">
        <v>117</v>
      </c>
      <c r="B148" s="82" t="inlineStr"/>
      <c r="C148" s="82" t="inlineStr"/>
      <c r="D148" s="83" t="inlineStr">
        <is>
          <t>&gt; 5 m² et &lt;= 10 m²</t>
        </is>
      </c>
      <c r="E148" s="9" t="inlineStr">
        <is>
          <t>QP</t>
        </is>
      </c>
      <c r="F148" s="9" t="inlineStr">
        <is>
          <t>m²</t>
        </is>
      </c>
      <c r="G148" s="9" t="n">
        <v>5</v>
      </c>
      <c r="H148" s="10" t="n"/>
      <c r="I148" s="10" t="n"/>
      <c r="J148" s="9">
        <f>G148-I148+H148</f>
        <v/>
      </c>
      <c r="K148" s="213" t="n">
        <v>31</v>
      </c>
      <c r="L148" s="84" t="inlineStr">
        <is>
          <t>trente et un euros</t>
        </is>
      </c>
      <c r="M148" s="195">
        <f>ROUND(G148*ROUND(K148,2),2)</f>
        <v/>
      </c>
      <c r="N148" s="196" t="n">
        <v>0.21</v>
      </c>
      <c r="O148" s="197">
        <f>ROUND(N148*ROUND(M148,2),2)</f>
        <v/>
      </c>
      <c r="P148" s="10" t="n"/>
      <c r="Q148" s="9" t="inlineStr">
        <is>
          <t>Non</t>
        </is>
      </c>
      <c r="R148" s="103" t="n">
        <v>6</v>
      </c>
    </row>
    <row r="149">
      <c r="A149" s="9" t="n">
        <v>118</v>
      </c>
      <c r="B149" s="82" t="inlineStr"/>
      <c r="C149" s="82" t="inlineStr"/>
      <c r="D149" s="83" t="inlineStr">
        <is>
          <t>&gt; 10 m² et &lt;= 25 m²</t>
        </is>
      </c>
      <c r="E149" s="9" t="inlineStr">
        <is>
          <t>QP</t>
        </is>
      </c>
      <c r="F149" s="9" t="inlineStr">
        <is>
          <t>m²</t>
        </is>
      </c>
      <c r="G149" s="9" t="n">
        <v>5</v>
      </c>
      <c r="H149" s="10" t="n"/>
      <c r="I149" s="10" t="n"/>
      <c r="J149" s="9">
        <f>G149-I149+H149</f>
        <v/>
      </c>
      <c r="K149" s="213" t="n">
        <v>28</v>
      </c>
      <c r="L149" s="84" t="inlineStr">
        <is>
          <t>vingt-huit euros</t>
        </is>
      </c>
      <c r="M149" s="195">
        <f>ROUND(G149*ROUND(K149,2),2)</f>
        <v/>
      </c>
      <c r="N149" s="196" t="n">
        <v>0.21</v>
      </c>
      <c r="O149" s="197">
        <f>ROUND(N149*ROUND(M149,2),2)</f>
        <v/>
      </c>
      <c r="P149" s="10" t="n"/>
      <c r="Q149" s="9" t="inlineStr">
        <is>
          <t>Non</t>
        </is>
      </c>
      <c r="R149" s="103" t="n">
        <v>6</v>
      </c>
    </row>
    <row r="150">
      <c r="A150" s="9" t="n">
        <v>119</v>
      </c>
      <c r="B150" s="82" t="inlineStr"/>
      <c r="C150" s="82" t="inlineStr"/>
      <c r="D150" s="83" t="inlineStr">
        <is>
          <t>&gt; 25 m²</t>
        </is>
      </c>
      <c r="E150" s="9" t="inlineStr">
        <is>
          <t>QP</t>
        </is>
      </c>
      <c r="F150" s="9" t="inlineStr">
        <is>
          <t>m²</t>
        </is>
      </c>
      <c r="G150" s="9" t="n">
        <v>5</v>
      </c>
      <c r="H150" s="10" t="n"/>
      <c r="I150" s="10" t="n"/>
      <c r="J150" s="9">
        <f>G150-I150+H150</f>
        <v/>
      </c>
      <c r="K150" s="213" t="n">
        <v>26</v>
      </c>
      <c r="L150" s="84" t="inlineStr">
        <is>
          <t>vingt-six euros</t>
        </is>
      </c>
      <c r="M150" s="195">
        <f>ROUND(G150*ROUND(K150,2),2)</f>
        <v/>
      </c>
      <c r="N150" s="196" t="n">
        <v>0.21</v>
      </c>
      <c r="O150" s="197">
        <f>ROUND(N150*ROUND(M150,2),2)</f>
        <v/>
      </c>
      <c r="P150" s="10" t="n"/>
      <c r="Q150" s="9" t="inlineStr">
        <is>
          <t>Non</t>
        </is>
      </c>
      <c r="R150" s="103" t="n">
        <v>6</v>
      </c>
    </row>
    <row r="151" ht="13.2" customFormat="1" customHeight="1" s="71">
      <c r="A151" s="8" t="n"/>
      <c r="B151" s="76" t="inlineStr"/>
      <c r="C151" s="76" t="inlineStr"/>
      <c r="D151" s="77" t="inlineStr">
        <is>
          <t>30cm</t>
        </is>
      </c>
      <c r="E151" s="8" t="inlineStr"/>
      <c r="F151" s="8" t="n"/>
      <c r="G151" s="8" t="n"/>
      <c r="H151" s="11" t="n"/>
      <c r="I151" s="11" t="n"/>
      <c r="J151" s="8" t="n"/>
      <c r="K151" s="198" t="n"/>
      <c r="L151" s="78" t="n"/>
      <c r="M151" s="210" t="n"/>
      <c r="N151" s="211" t="n"/>
      <c r="O151" s="212" t="n"/>
      <c r="P151" s="11" t="n"/>
      <c r="Q151" s="8" t="n"/>
      <c r="R151" s="102" t="n"/>
    </row>
    <row r="152">
      <c r="A152" s="9" t="n">
        <v>120</v>
      </c>
      <c r="B152" s="82" t="inlineStr"/>
      <c r="C152" s="82" t="inlineStr"/>
      <c r="D152" s="83" t="inlineStr">
        <is>
          <t>&gt;= A2 et &lt;= 1 m²</t>
        </is>
      </c>
      <c r="E152" s="9" t="inlineStr">
        <is>
          <t>QP</t>
        </is>
      </c>
      <c r="F152" s="9" t="inlineStr">
        <is>
          <t>m²</t>
        </is>
      </c>
      <c r="G152" s="9" t="n">
        <v>5</v>
      </c>
      <c r="H152" s="10" t="n"/>
      <c r="I152" s="10" t="n"/>
      <c r="J152" s="9">
        <f>G152-I152+H152</f>
        <v/>
      </c>
      <c r="K152" s="213" t="n">
        <v>36</v>
      </c>
      <c r="L152" s="84" t="inlineStr">
        <is>
          <t>trente-six euros</t>
        </is>
      </c>
      <c r="M152" s="195">
        <f>ROUND(G152*ROUND(K152,2),2)</f>
        <v/>
      </c>
      <c r="N152" s="196" t="n">
        <v>0.21</v>
      </c>
      <c r="O152" s="197">
        <f>ROUND(N152*ROUND(M152,2),2)</f>
        <v/>
      </c>
      <c r="P152" s="10" t="n"/>
      <c r="Q152" s="9" t="inlineStr">
        <is>
          <t>Non</t>
        </is>
      </c>
      <c r="R152" s="103" t="n">
        <v>6</v>
      </c>
    </row>
    <row r="153">
      <c r="A153" s="9" t="n">
        <v>121</v>
      </c>
      <c r="B153" s="82" t="inlineStr"/>
      <c r="C153" s="82" t="inlineStr"/>
      <c r="D153" s="83" t="inlineStr">
        <is>
          <t>&gt; 1 m² et &lt;= 2 m²</t>
        </is>
      </c>
      <c r="E153" s="9" t="inlineStr">
        <is>
          <t>QP</t>
        </is>
      </c>
      <c r="F153" s="9" t="inlineStr">
        <is>
          <t>m²</t>
        </is>
      </c>
      <c r="G153" s="9" t="n">
        <v>5</v>
      </c>
      <c r="H153" s="10" t="n"/>
      <c r="I153" s="10" t="n"/>
      <c r="J153" s="9">
        <f>G153-I153+H153</f>
        <v/>
      </c>
      <c r="K153" s="213" t="n">
        <v>32</v>
      </c>
      <c r="L153" s="84" t="inlineStr">
        <is>
          <t>trente-deux euros</t>
        </is>
      </c>
      <c r="M153" s="195">
        <f>ROUND(G153*ROUND(K153,2),2)</f>
        <v/>
      </c>
      <c r="N153" s="196" t="n">
        <v>0.21</v>
      </c>
      <c r="O153" s="197">
        <f>ROUND(N153*ROUND(M153,2),2)</f>
        <v/>
      </c>
      <c r="P153" s="10" t="n"/>
      <c r="Q153" s="9" t="inlineStr">
        <is>
          <t>Non</t>
        </is>
      </c>
      <c r="R153" s="103" t="n">
        <v>6</v>
      </c>
    </row>
    <row r="154">
      <c r="A154" s="9" t="n">
        <v>122</v>
      </c>
      <c r="B154" s="82" t="inlineStr"/>
      <c r="C154" s="82" t="inlineStr"/>
      <c r="D154" s="83" t="inlineStr">
        <is>
          <t>&gt; 2 m² et &lt;= 5 m²</t>
        </is>
      </c>
      <c r="E154" s="9" t="inlineStr">
        <is>
          <t>QP</t>
        </is>
      </c>
      <c r="F154" s="9" t="inlineStr">
        <is>
          <t>m²</t>
        </is>
      </c>
      <c r="G154" s="9" t="n">
        <v>5</v>
      </c>
      <c r="H154" s="10" t="n"/>
      <c r="I154" s="10" t="n"/>
      <c r="J154" s="9">
        <f>G154-I154+H154</f>
        <v/>
      </c>
      <c r="K154" s="213" t="n">
        <v>29</v>
      </c>
      <c r="L154" s="84" t="inlineStr">
        <is>
          <t>vingt-neuf euros</t>
        </is>
      </c>
      <c r="M154" s="195">
        <f>ROUND(G154*ROUND(K154,2),2)</f>
        <v/>
      </c>
      <c r="N154" s="196" t="n">
        <v>0.21</v>
      </c>
      <c r="O154" s="197">
        <f>ROUND(N154*ROUND(M154,2),2)</f>
        <v/>
      </c>
      <c r="P154" s="10" t="n"/>
      <c r="Q154" s="9" t="inlineStr">
        <is>
          <t>Non</t>
        </is>
      </c>
      <c r="R154" s="103" t="n">
        <v>6</v>
      </c>
    </row>
    <row r="155">
      <c r="A155" s="9" t="n">
        <v>123</v>
      </c>
      <c r="B155" s="82" t="inlineStr"/>
      <c r="C155" s="82" t="inlineStr"/>
      <c r="D155" s="83" t="inlineStr">
        <is>
          <t>&gt; 5 m² et &lt;= 10 m²</t>
        </is>
      </c>
      <c r="E155" s="9" t="inlineStr">
        <is>
          <t>QP</t>
        </is>
      </c>
      <c r="F155" s="9" t="inlineStr">
        <is>
          <t>m²</t>
        </is>
      </c>
      <c r="G155" s="9" t="n">
        <v>5</v>
      </c>
      <c r="H155" s="10" t="n"/>
      <c r="I155" s="10" t="n"/>
      <c r="J155" s="9">
        <f>G155-I155+H155</f>
        <v/>
      </c>
      <c r="K155" s="213" t="n">
        <v>26</v>
      </c>
      <c r="L155" s="84" t="inlineStr">
        <is>
          <t>vingt-six euros</t>
        </is>
      </c>
      <c r="M155" s="195">
        <f>ROUND(G155*ROUND(K155,2),2)</f>
        <v/>
      </c>
      <c r="N155" s="196" t="n">
        <v>0.21</v>
      </c>
      <c r="O155" s="197">
        <f>ROUND(N155*ROUND(M155,2),2)</f>
        <v/>
      </c>
      <c r="P155" s="10" t="n"/>
      <c r="Q155" s="9" t="inlineStr">
        <is>
          <t>Non</t>
        </is>
      </c>
      <c r="R155" s="103" t="n">
        <v>6</v>
      </c>
    </row>
    <row r="156">
      <c r="A156" s="9" t="n">
        <v>124</v>
      </c>
      <c r="B156" s="82" t="inlineStr"/>
      <c r="C156" s="82" t="inlineStr"/>
      <c r="D156" s="83" t="inlineStr">
        <is>
          <t>&gt; 10 m² et &lt;= 25 m²</t>
        </is>
      </c>
      <c r="E156" s="9" t="inlineStr">
        <is>
          <t>QP</t>
        </is>
      </c>
      <c r="F156" s="9" t="inlineStr">
        <is>
          <t>m²</t>
        </is>
      </c>
      <c r="G156" s="9" t="n">
        <v>5</v>
      </c>
      <c r="H156" s="10" t="n"/>
      <c r="I156" s="10" t="n"/>
      <c r="J156" s="9">
        <f>G156-I156+H156</f>
        <v/>
      </c>
      <c r="K156" s="213" t="n">
        <v>24</v>
      </c>
      <c r="L156" s="84" t="inlineStr">
        <is>
          <t>vingt-quatre euros</t>
        </is>
      </c>
      <c r="M156" s="195">
        <f>ROUND(G156*ROUND(K156,2),2)</f>
        <v/>
      </c>
      <c r="N156" s="196" t="n">
        <v>0.21</v>
      </c>
      <c r="O156" s="197">
        <f>ROUND(N156*ROUND(M156,2),2)</f>
        <v/>
      </c>
      <c r="P156" s="10" t="n"/>
      <c r="Q156" s="9" t="inlineStr">
        <is>
          <t>Non</t>
        </is>
      </c>
      <c r="R156" s="103" t="n">
        <v>6</v>
      </c>
    </row>
    <row r="157">
      <c r="A157" s="9" t="n">
        <v>125</v>
      </c>
      <c r="B157" s="82" t="inlineStr"/>
      <c r="C157" s="82" t="inlineStr"/>
      <c r="D157" s="83" t="inlineStr">
        <is>
          <t>&gt; 25 m²</t>
        </is>
      </c>
      <c r="E157" s="9" t="inlineStr">
        <is>
          <t>QP</t>
        </is>
      </c>
      <c r="F157" s="9" t="inlineStr">
        <is>
          <t>m²</t>
        </is>
      </c>
      <c r="G157" s="9" t="n">
        <v>5</v>
      </c>
      <c r="H157" s="10" t="n"/>
      <c r="I157" s="10" t="n"/>
      <c r="J157" s="9">
        <f>G157-I157+H157</f>
        <v/>
      </c>
      <c r="K157" s="213" t="n">
        <v>22</v>
      </c>
      <c r="L157" s="84" t="inlineStr">
        <is>
          <t>vingt-deux euros</t>
        </is>
      </c>
      <c r="M157" s="195">
        <f>ROUND(G157*ROUND(K157,2),2)</f>
        <v/>
      </c>
      <c r="N157" s="196" t="n">
        <v>0.21</v>
      </c>
      <c r="O157" s="197">
        <f>ROUND(N157*ROUND(M157,2),2)</f>
        <v/>
      </c>
      <c r="P157" s="10" t="n"/>
      <c r="Q157" s="9" t="inlineStr">
        <is>
          <t>Non</t>
        </is>
      </c>
      <c r="R157" s="103" t="n">
        <v>6</v>
      </c>
    </row>
    <row r="158" ht="20.4" customFormat="1" customHeight="1" s="71">
      <c r="A158" s="8" t="n"/>
      <c r="B158" s="76" t="inlineStr"/>
      <c r="C158" s="76" t="inlineStr"/>
      <c r="D158" s="77" t="inlineStr">
        <is>
          <t>DOUBLE FACE POUR FIXATION MURALE</t>
        </is>
      </c>
      <c r="E158" s="8" t="inlineStr"/>
      <c r="F158" s="8" t="n"/>
      <c r="G158" s="8" t="n"/>
      <c r="H158" s="11" t="n"/>
      <c r="I158" s="11" t="n"/>
      <c r="J158" s="8" t="n"/>
      <c r="K158" s="198" t="n"/>
      <c r="L158" s="78" t="n"/>
      <c r="M158" s="210" t="n"/>
      <c r="N158" s="211" t="n"/>
      <c r="O158" s="212" t="n"/>
      <c r="P158" s="11" t="n"/>
      <c r="Q158" s="8" t="n"/>
      <c r="R158" s="102" t="n"/>
    </row>
    <row r="159">
      <c r="A159" s="9" t="n">
        <v>126</v>
      </c>
      <c r="B159" s="82" t="inlineStr"/>
      <c r="C159" s="82" t="inlineStr"/>
      <c r="D159" s="83" t="inlineStr">
        <is>
          <t>double face pour fixation au mur</t>
        </is>
      </c>
      <c r="E159" s="9" t="inlineStr">
        <is>
          <t>QP</t>
        </is>
      </c>
      <c r="F159" s="9" t="inlineStr">
        <is>
          <t>pièce</t>
        </is>
      </c>
      <c r="G159" s="9" t="n">
        <v>10</v>
      </c>
      <c r="H159" s="10" t="n"/>
      <c r="I159" s="10" t="n"/>
      <c r="J159" s="9">
        <f>G159-I159+H159</f>
        <v/>
      </c>
      <c r="K159" s="213" t="n">
        <v>2.4</v>
      </c>
      <c r="L159" s="84" t="inlineStr">
        <is>
          <t>deux euros et quarante cents</t>
        </is>
      </c>
      <c r="M159" s="195">
        <f>ROUND(G159*ROUND(K159,2),2)</f>
        <v/>
      </c>
      <c r="N159" s="196" t="n">
        <v>0.21</v>
      </c>
      <c r="O159" s="197">
        <f>ROUND(N159*ROUND(M159,2),2)</f>
        <v/>
      </c>
      <c r="P159" s="10" t="n"/>
      <c r="Q159" s="9" t="inlineStr">
        <is>
          <t>Non</t>
        </is>
      </c>
      <c r="R159" s="103" t="n">
        <v>6</v>
      </c>
    </row>
    <row r="160" ht="20.4" customHeight="1">
      <c r="A160" s="9" t="n">
        <v>127</v>
      </c>
      <c r="B160" s="82" t="inlineStr"/>
      <c r="C160" s="82" t="inlineStr"/>
      <c r="D160" s="83" t="inlineStr">
        <is>
          <t>Système de fixation de panneaux avec réglettes métalliques fixées en U</t>
        </is>
      </c>
      <c r="E160" s="9" t="inlineStr">
        <is>
          <t>QP</t>
        </is>
      </c>
      <c r="F160" s="9" t="inlineStr">
        <is>
          <t>par 10</t>
        </is>
      </c>
      <c r="G160" s="9" t="n">
        <v>50</v>
      </c>
      <c r="H160" s="10" t="n"/>
      <c r="I160" s="10" t="n"/>
      <c r="J160" s="9">
        <f>G160-I160+H160</f>
        <v/>
      </c>
      <c r="K160" s="213" t="n">
        <v>38</v>
      </c>
      <c r="L160" s="84" t="inlineStr">
        <is>
          <t>trente-huit euros</t>
        </is>
      </c>
      <c r="M160" s="195">
        <f>ROUND(G160*ROUND(K160,2),2)</f>
        <v/>
      </c>
      <c r="N160" s="196" t="n">
        <v>0.21</v>
      </c>
      <c r="O160" s="197">
        <f>ROUND(N160*ROUND(M160,2),2)</f>
        <v/>
      </c>
      <c r="P160" s="10" t="n"/>
      <c r="Q160" s="9" t="inlineStr">
        <is>
          <t>Non</t>
        </is>
      </c>
      <c r="R160" s="103" t="n">
        <v>6</v>
      </c>
    </row>
    <row r="161" ht="13.2" customFormat="1" customHeight="1" s="71">
      <c r="A161" s="8" t="n"/>
      <c r="B161" s="76" t="inlineStr"/>
      <c r="C161" s="76" t="inlineStr"/>
      <c r="D161" s="77" t="inlineStr">
        <is>
          <t>PLACEMENT EVENTUEL</t>
        </is>
      </c>
      <c r="E161" s="8" t="inlineStr"/>
      <c r="F161" s="8" t="n"/>
      <c r="G161" s="8" t="n"/>
      <c r="H161" s="11" t="n"/>
      <c r="I161" s="11" t="n"/>
      <c r="J161" s="8" t="n"/>
      <c r="K161" s="198" t="n"/>
      <c r="L161" s="78" t="n"/>
      <c r="M161" s="210" t="n"/>
      <c r="N161" s="211" t="n"/>
      <c r="O161" s="212" t="n"/>
      <c r="P161" s="11" t="n"/>
      <c r="Q161" s="8" t="n"/>
      <c r="R161" s="102" t="n"/>
    </row>
    <row r="162">
      <c r="A162" s="9" t="n">
        <v>128</v>
      </c>
      <c r="B162" s="82" t="inlineStr"/>
      <c r="C162" s="82" t="inlineStr"/>
      <c r="D162" s="83" t="inlineStr">
        <is>
          <t>frais de déplacement aller-retour</t>
        </is>
      </c>
      <c r="E162" s="9" t="inlineStr">
        <is>
          <t>QP</t>
        </is>
      </c>
      <c r="F162" s="9" t="inlineStr">
        <is>
          <t>forfait</t>
        </is>
      </c>
      <c r="G162" s="9" t="n">
        <v>1</v>
      </c>
      <c r="H162" s="10" t="n"/>
      <c r="I162" s="10" t="n"/>
      <c r="J162" s="9">
        <f>G162-I162+H162</f>
        <v/>
      </c>
      <c r="K162" s="213" t="n">
        <v>45</v>
      </c>
      <c r="L162" s="84" t="inlineStr">
        <is>
          <t>quarante-cinq euros</t>
        </is>
      </c>
      <c r="M162" s="195">
        <f>ROUND(G162*ROUND(K162,2),2)</f>
        <v/>
      </c>
      <c r="N162" s="196" t="n">
        <v>0.21</v>
      </c>
      <c r="O162" s="197">
        <f>ROUND(N162*ROUND(M162,2),2)</f>
        <v/>
      </c>
      <c r="P162" s="10" t="n"/>
      <c r="Q162" s="9" t="inlineStr">
        <is>
          <t>Non</t>
        </is>
      </c>
      <c r="R162" s="103" t="n">
        <v>3</v>
      </c>
    </row>
    <row r="163">
      <c r="A163" s="9" t="n">
        <v>129</v>
      </c>
      <c r="B163" s="82" t="inlineStr"/>
      <c r="C163" s="82" t="inlineStr"/>
      <c r="D163" s="83" t="inlineStr">
        <is>
          <t>tarif horaire</t>
        </is>
      </c>
      <c r="E163" s="9" t="inlineStr">
        <is>
          <t>QP</t>
        </is>
      </c>
      <c r="F163" s="9" t="inlineStr">
        <is>
          <t>heure</t>
        </is>
      </c>
      <c r="G163" s="9" t="n">
        <v>1</v>
      </c>
      <c r="H163" s="10" t="n"/>
      <c r="I163" s="10" t="n"/>
      <c r="J163" s="9">
        <f>G163-I163+H163</f>
        <v/>
      </c>
      <c r="K163" s="213" t="n">
        <v>48</v>
      </c>
      <c r="L163" s="84" t="inlineStr">
        <is>
          <t>quarante-huit euros</t>
        </is>
      </c>
      <c r="M163" s="195">
        <f>ROUND(G163*ROUND(K163,2),2)</f>
        <v/>
      </c>
      <c r="N163" s="196" t="n">
        <v>0.21</v>
      </c>
      <c r="O163" s="197">
        <f>ROUND(N163*ROUND(M163,2),2)</f>
        <v/>
      </c>
      <c r="P163" s="10" t="n"/>
      <c r="Q163" s="9" t="inlineStr">
        <is>
          <t>Non</t>
        </is>
      </c>
      <c r="R163" s="103" t="n">
        <v>3</v>
      </c>
    </row>
    <row r="164" ht="13.2" customFormat="1" customHeight="1" s="71">
      <c r="A164" s="8" t="n"/>
      <c r="B164" s="76" t="inlineStr"/>
      <c r="C164" s="76" t="inlineStr"/>
      <c r="D164" s="77" t="inlineStr">
        <is>
          <t>LIVRAISON</t>
        </is>
      </c>
      <c r="E164" s="8" t="inlineStr"/>
      <c r="F164" s="8" t="n"/>
      <c r="G164" s="8" t="n"/>
      <c r="H164" s="11" t="n"/>
      <c r="I164" s="11" t="n"/>
      <c r="J164" s="8" t="n"/>
      <c r="K164" s="198" t="n"/>
      <c r="L164" s="78" t="n"/>
      <c r="M164" s="210" t="n"/>
      <c r="N164" s="211" t="n"/>
      <c r="O164" s="212" t="n"/>
      <c r="P164" s="11" t="n"/>
      <c r="Q164" s="8" t="n"/>
      <c r="R164" s="102" t="n"/>
    </row>
    <row r="165">
      <c r="A165" s="9" t="n">
        <v>130</v>
      </c>
      <c r="B165" s="82" t="inlineStr"/>
      <c r="C165" s="82" t="inlineStr"/>
      <c r="D165" s="83" t="inlineStr">
        <is>
          <t>frais de livraison aller-retour (maximum)</t>
        </is>
      </c>
      <c r="E165" s="9" t="inlineStr">
        <is>
          <t>QP</t>
        </is>
      </c>
      <c r="F165" s="9" t="inlineStr">
        <is>
          <t>Forfait</t>
        </is>
      </c>
      <c r="G165" s="9" t="n">
        <v>1</v>
      </c>
      <c r="H165" s="10" t="n"/>
      <c r="I165" s="10" t="n"/>
      <c r="J165" s="9">
        <f>G165-I165+H165</f>
        <v/>
      </c>
      <c r="K165" s="213" t="n">
        <v>35</v>
      </c>
      <c r="L165" s="84" t="inlineStr">
        <is>
          <t>trente-cinq euros</t>
        </is>
      </c>
      <c r="M165" s="195">
        <f>ROUND(G165*ROUND(K165,2),2)</f>
        <v/>
      </c>
      <c r="N165" s="196" t="n">
        <v>0.21</v>
      </c>
      <c r="O165" s="197">
        <f>ROUND(N165*ROUND(M165,2),2)</f>
        <v/>
      </c>
      <c r="P165" s="10" t="n"/>
      <c r="Q165" s="9" t="inlineStr">
        <is>
          <t>Non</t>
        </is>
      </c>
      <c r="R165" s="103" t="n">
        <v>3</v>
      </c>
    </row>
    <row r="166">
      <c r="A166" s="9" t="n"/>
      <c r="B166" s="85" t="n"/>
      <c r="C166" s="85" t="n"/>
      <c r="D166" s="49" t="n"/>
      <c r="E166" s="9" t="n"/>
      <c r="F166" s="9" t="n"/>
      <c r="G166" s="9" t="n"/>
      <c r="H166" s="10" t="n"/>
      <c r="I166" s="10" t="n"/>
      <c r="J166" s="9" t="n"/>
      <c r="K166" s="194" t="n"/>
      <c r="L166" s="84" t="n"/>
      <c r="M166" s="195" t="n"/>
      <c r="N166" s="196" t="n"/>
      <c r="O166" s="197" t="n"/>
      <c r="P166" s="10" t="n"/>
      <c r="Q166" s="9" t="n"/>
      <c r="R166" s="103" t="n"/>
    </row>
    <row r="167" ht="15" customHeight="1">
      <c r="A167" s="157" t="inlineStr">
        <is>
          <t>Total HTVA :</t>
        </is>
      </c>
      <c r="B167" s="214" t="n"/>
      <c r="C167" s="214" t="n"/>
      <c r="D167" s="214" t="n"/>
      <c r="E167" s="214" t="n"/>
      <c r="F167" s="214" t="n"/>
      <c r="G167" s="214" t="n"/>
      <c r="H167" s="214" t="n"/>
      <c r="I167" s="214" t="n"/>
      <c r="J167" s="214" t="n"/>
      <c r="K167" s="214" t="n"/>
      <c r="L167" s="214" t="n"/>
      <c r="M167" s="206">
        <f>SUM(M6:M165)</f>
        <v/>
      </c>
      <c r="N167" s="215" t="n"/>
      <c r="O167" s="208" t="n"/>
      <c r="P167" s="158" t="n"/>
      <c r="Q167" s="158" t="n"/>
      <c r="R167" s="101" t="n"/>
    </row>
    <row r="168" ht="15" customHeight="1">
      <c r="A168" s="162" t="inlineStr">
        <is>
          <t>TVA :</t>
        </is>
      </c>
      <c r="B168" s="214" t="n"/>
      <c r="C168" s="214" t="n"/>
      <c r="D168" s="214" t="n"/>
      <c r="E168" s="214" t="n"/>
      <c r="F168" s="214" t="n"/>
      <c r="G168" s="214" t="n"/>
      <c r="H168" s="214" t="n"/>
      <c r="I168" s="214" t="n"/>
      <c r="J168" s="214" t="n"/>
      <c r="K168" s="214" t="n"/>
      <c r="L168" s="214" t="n"/>
      <c r="M168" s="216">
        <f>ROUND(SUM(O6:O165),2)</f>
        <v/>
      </c>
      <c r="N168" s="217" t="n"/>
      <c r="O168" s="197" t="n"/>
      <c r="P168" s="163" t="n"/>
      <c r="Q168" s="163" t="n"/>
      <c r="R168" s="103" t="n"/>
    </row>
    <row r="169" ht="15" customHeight="1">
      <c r="A169" s="157" t="inlineStr">
        <is>
          <t>Total TVAC :</t>
        </is>
      </c>
      <c r="B169" s="214" t="n"/>
      <c r="C169" s="214" t="n"/>
      <c r="D169" s="214" t="n"/>
      <c r="E169" s="214" t="n"/>
      <c r="F169" s="214" t="n"/>
      <c r="G169" s="214" t="n"/>
      <c r="H169" s="214" t="n"/>
      <c r="I169" s="214" t="n"/>
      <c r="J169" s="214" t="n"/>
      <c r="K169" s="214" t="n"/>
      <c r="L169" s="214" t="n"/>
      <c r="M169" s="206">
        <f>M167+M168</f>
        <v/>
      </c>
      <c r="N169" s="215" t="n"/>
      <c r="O169" s="208" t="n"/>
      <c r="P169" s="158" t="n"/>
      <c r="Q169" s="158" t="n"/>
      <c r="R169" s="101" t="n"/>
    </row>
    <row r="170">
      <c r="A170" s="167" t="inlineStr">
        <is>
          <t>Les prix unitaires doivent être mentionnés avec 2 chiffres après la virgule. 
Le montant total HTVA (la quantité de produits x le prix unitaire) doit être à chaque fois arrondis à 2 chiffres après la virgule.</t>
        </is>
      </c>
    </row>
    <row r="171"/>
    <row r="172"/>
    <row r="173"/>
    <row r="174">
      <c r="A174" s="143" t="inlineStr">
        <is>
          <t>Vu, vérifié et complété avec les prix unitaires, les totaux partiels et le total global qui ont servi à déterminer le montant de mon offre de ce jour, pour être joint à mon formulaire d’offre.
Fait à .......................................... le ......................................................                  Fonction : ......................................................
Nom et prénom : ....................................................................</t>
        </is>
      </c>
      <c r="B174" s="214" t="n"/>
      <c r="C174" s="214" t="n"/>
      <c r="D174" s="214" t="n"/>
      <c r="E174" s="214" t="n"/>
      <c r="F174" s="214" t="n"/>
      <c r="G174" s="214" t="n"/>
      <c r="H174" s="214" t="n"/>
      <c r="I174" s="214" t="n"/>
      <c r="J174" s="214" t="n"/>
      <c r="K174" s="214" t="n"/>
      <c r="L174" s="214" t="n"/>
      <c r="M174" s="214" t="n"/>
      <c r="N174" s="214" t="n"/>
      <c r="O174" s="214" t="n"/>
      <c r="P174" s="214" t="n"/>
      <c r="Q174" s="214" t="n"/>
      <c r="R174" s="214" t="n"/>
    </row>
    <row r="175">
      <c r="A175" s="214" t="n"/>
      <c r="B175" s="214" t="n"/>
      <c r="C175" s="214" t="n"/>
      <c r="D175" s="214" t="n"/>
      <c r="E175" s="214" t="n"/>
      <c r="F175" s="214" t="n"/>
      <c r="G175" s="214" t="n"/>
      <c r="H175" s="214" t="n"/>
      <c r="I175" s="214" t="n"/>
      <c r="J175" s="214" t="n"/>
      <c r="K175" s="214" t="n"/>
      <c r="L175" s="214" t="n"/>
      <c r="M175" s="214" t="n"/>
      <c r="N175" s="214" t="n"/>
      <c r="O175" s="214" t="n"/>
      <c r="P175" s="214" t="n"/>
      <c r="Q175" s="214" t="n"/>
      <c r="R175" s="214" t="n"/>
    </row>
    <row r="176">
      <c r="A176" s="214" t="n"/>
      <c r="B176" s="214" t="n"/>
      <c r="C176" s="214" t="n"/>
      <c r="D176" s="214" t="n"/>
      <c r="E176" s="214" t="n"/>
      <c r="F176" s="214" t="n"/>
      <c r="G176" s="214" t="n"/>
      <c r="H176" s="214" t="n"/>
      <c r="I176" s="214" t="n"/>
      <c r="J176" s="214" t="n"/>
      <c r="K176" s="214" t="n"/>
      <c r="L176" s="214" t="n"/>
      <c r="M176" s="214" t="n"/>
      <c r="N176" s="214" t="n"/>
      <c r="O176" s="214" t="n"/>
      <c r="P176" s="214" t="n"/>
      <c r="Q176" s="214" t="n"/>
      <c r="R176" s="214" t="n"/>
    </row>
    <row r="177">
      <c r="A177" s="214" t="n"/>
      <c r="B177" s="214" t="n"/>
      <c r="C177" s="214" t="n"/>
      <c r="D177" s="214" t="n"/>
      <c r="E177" s="214" t="n"/>
      <c r="F177" s="214" t="n"/>
      <c r="G177" s="214" t="n"/>
      <c r="H177" s="214" t="n"/>
      <c r="I177" s="214" t="n"/>
      <c r="J177" s="214" t="n"/>
      <c r="K177" s="214" t="n"/>
      <c r="L177" s="214" t="n"/>
      <c r="M177" s="214" t="n"/>
      <c r="N177" s="214" t="n"/>
      <c r="O177" s="214" t="n"/>
      <c r="P177" s="214" t="n"/>
      <c r="Q177" s="214" t="n"/>
      <c r="R177" s="214" t="n"/>
    </row>
    <row r="178">
      <c r="A178" s="214" t="n"/>
      <c r="B178" s="214" t="n"/>
      <c r="C178" s="214" t="n"/>
      <c r="D178" s="214" t="n"/>
      <c r="E178" s="214" t="n"/>
      <c r="F178" s="214" t="n"/>
      <c r="G178" s="214" t="n"/>
      <c r="H178" s="214" t="n"/>
      <c r="I178" s="214" t="n"/>
      <c r="J178" s="214" t="n"/>
      <c r="K178" s="214" t="n"/>
      <c r="L178" s="214" t="n"/>
      <c r="M178" s="214" t="n"/>
      <c r="N178" s="214" t="n"/>
      <c r="O178" s="214" t="n"/>
      <c r="P178" s="214" t="n"/>
      <c r="Q178" s="214" t="n"/>
      <c r="R178" s="214" t="n"/>
    </row>
    <row r="179">
      <c r="A179" s="214" t="n"/>
      <c r="B179" s="214" t="n"/>
      <c r="C179" s="214" t="n"/>
      <c r="D179" s="214" t="n"/>
      <c r="E179" s="214" t="n"/>
      <c r="F179" s="214" t="n"/>
      <c r="G179" s="214" t="n"/>
      <c r="H179" s="214" t="n"/>
      <c r="I179" s="214" t="n"/>
      <c r="J179" s="214" t="n"/>
      <c r="K179" s="214" t="n"/>
      <c r="L179" s="214" t="n"/>
      <c r="M179" s="214" t="n"/>
      <c r="N179" s="214" t="n"/>
      <c r="O179" s="214" t="n"/>
      <c r="P179" s="214" t="n"/>
      <c r="Q179" s="214" t="n"/>
      <c r="R179" s="214" t="n"/>
    </row>
    <row r="180">
      <c r="A180" s="214" t="n"/>
      <c r="B180" s="214" t="n"/>
      <c r="C180" s="214" t="n"/>
      <c r="D180" s="214" t="n"/>
      <c r="E180" s="214" t="n"/>
      <c r="F180" s="214" t="n"/>
      <c r="G180" s="214" t="n"/>
      <c r="H180" s="214" t="n"/>
      <c r="I180" s="214" t="n"/>
      <c r="J180" s="214" t="n"/>
      <c r="K180" s="214" t="n"/>
      <c r="L180" s="214" t="n"/>
      <c r="M180" s="214" t="n"/>
      <c r="N180" s="214" t="n"/>
      <c r="O180" s="214" t="n"/>
      <c r="P180" s="214" t="n"/>
      <c r="Q180" s="214" t="n"/>
      <c r="R180" s="214" t="n"/>
    </row>
    <row r="181">
      <c r="A181" s="214" t="n"/>
      <c r="B181" s="214" t="n"/>
      <c r="C181" s="214" t="n"/>
      <c r="D181" s="214" t="n"/>
      <c r="E181" s="214" t="n"/>
      <c r="F181" s="214" t="n"/>
      <c r="G181" s="214" t="n"/>
      <c r="H181" s="214" t="n"/>
      <c r="I181" s="214" t="n"/>
      <c r="J181" s="214" t="n"/>
      <c r="K181" s="214" t="n"/>
      <c r="L181" s="214" t="n"/>
      <c r="M181" s="214" t="n"/>
      <c r="N181" s="214" t="n"/>
      <c r="O181" s="214" t="n"/>
      <c r="P181" s="214" t="n"/>
      <c r="Q181" s="214" t="n"/>
      <c r="R181" s="214" t="n"/>
    </row>
    <row r="182">
      <c r="A182" s="214" t="n"/>
      <c r="B182" s="214" t="n"/>
      <c r="C182" s="214" t="n"/>
      <c r="D182" s="214" t="n"/>
      <c r="E182" s="214" t="n"/>
      <c r="F182" s="214" t="n"/>
      <c r="G182" s="214" t="n"/>
      <c r="H182" s="214" t="n"/>
      <c r="I182" s="214" t="n"/>
      <c r="J182" s="214" t="n"/>
      <c r="K182" s="214" t="n"/>
      <c r="L182" s="214" t="n"/>
      <c r="M182" s="214" t="n"/>
      <c r="N182" s="214" t="n"/>
      <c r="O182" s="214" t="n"/>
      <c r="P182" s="214" t="n"/>
      <c r="Q182" s="214" t="n"/>
      <c r="R182" s="214" t="n"/>
    </row>
    <row r="183">
      <c r="A183" s="214" t="n"/>
      <c r="B183" s="214" t="n"/>
      <c r="C183" s="214" t="n"/>
      <c r="D183" s="214" t="n"/>
      <c r="E183" s="214" t="n"/>
      <c r="F183" s="214" t="n"/>
      <c r="G183" s="214" t="n"/>
      <c r="H183" s="214" t="n"/>
      <c r="I183" s="214" t="n"/>
      <c r="J183" s="214" t="n"/>
      <c r="K183" s="214" t="n"/>
      <c r="L183" s="214" t="n"/>
      <c r="M183" s="214" t="n"/>
      <c r="N183" s="214" t="n"/>
      <c r="O183" s="214" t="n"/>
      <c r="P183" s="214" t="n"/>
      <c r="Q183" s="214" t="n"/>
      <c r="R183" s="214" t="n"/>
    </row>
    <row r="184">
      <c r="A184" s="214" t="n"/>
      <c r="B184" s="214" t="n"/>
      <c r="C184" s="214" t="n"/>
      <c r="D184" s="214" t="n"/>
      <c r="E184" s="214" t="n"/>
      <c r="F184" s="214" t="n"/>
      <c r="G184" s="214" t="n"/>
      <c r="H184" s="214" t="n"/>
      <c r="I184" s="214" t="n"/>
      <c r="J184" s="214" t="n"/>
      <c r="K184" s="214" t="n"/>
      <c r="L184" s="214" t="n"/>
      <c r="M184" s="214" t="n"/>
      <c r="N184" s="214" t="n"/>
      <c r="O184" s="214" t="n"/>
      <c r="P184" s="214" t="n"/>
      <c r="Q184" s="214" t="n"/>
      <c r="R184" s="214" t="n"/>
    </row>
    <row r="185">
      <c r="A185" s="214" t="n"/>
      <c r="B185" s="214" t="n"/>
      <c r="C185" s="214" t="n"/>
      <c r="D185" s="214" t="n"/>
      <c r="E185" s="214" t="n"/>
      <c r="F185" s="214" t="n"/>
      <c r="G185" s="214" t="n"/>
      <c r="H185" s="214" t="n"/>
      <c r="I185" s="214" t="n"/>
      <c r="J185" s="214" t="n"/>
      <c r="K185" s="214" t="n"/>
      <c r="L185" s="214" t="n"/>
      <c r="M185" s="214" t="n"/>
      <c r="N185" s="214" t="n"/>
      <c r="O185" s="214" t="n"/>
      <c r="P185" s="214" t="n"/>
      <c r="Q185" s="214" t="n"/>
      <c r="R185" s="214" t="n"/>
    </row>
    <row r="186">
      <c r="A186" s="214" t="n"/>
      <c r="B186" s="214" t="n"/>
      <c r="C186" s="214" t="n"/>
      <c r="D186" s="214" t="n"/>
      <c r="E186" s="214" t="n"/>
      <c r="F186" s="214" t="n"/>
      <c r="G186" s="214" t="n"/>
      <c r="H186" s="214" t="n"/>
      <c r="I186" s="214" t="n"/>
      <c r="J186" s="214" t="n"/>
      <c r="K186" s="214" t="n"/>
      <c r="L186" s="214" t="n"/>
      <c r="M186" s="214" t="n"/>
      <c r="N186" s="214" t="n"/>
      <c r="O186" s="214" t="n"/>
      <c r="P186" s="214" t="n"/>
      <c r="Q186" s="214" t="n"/>
      <c r="R186" s="214" t="n"/>
    </row>
    <row r="187">
      <c r="A187" s="214" t="n"/>
      <c r="B187" s="214" t="n"/>
      <c r="C187" s="214" t="n"/>
      <c r="D187" s="214" t="n"/>
      <c r="E187" s="214" t="n"/>
      <c r="F187" s="214" t="n"/>
      <c r="G187" s="214" t="n"/>
      <c r="H187" s="214" t="n"/>
      <c r="I187" s="214" t="n"/>
      <c r="J187" s="214" t="n"/>
      <c r="K187" s="214" t="n"/>
      <c r="L187" s="214" t="n"/>
      <c r="M187" s="214" t="n"/>
      <c r="N187" s="214" t="n"/>
      <c r="O187" s="214" t="n"/>
      <c r="P187" s="214" t="n"/>
      <c r="Q187" s="214" t="n"/>
      <c r="R187" s="214" t="n"/>
    </row>
    <row r="188">
      <c r="A188" s="214" t="n"/>
      <c r="B188" s="214" t="n"/>
      <c r="C188" s="214" t="n"/>
      <c r="D188" s="214" t="n"/>
      <c r="E188" s="214" t="n"/>
      <c r="F188" s="214" t="n"/>
      <c r="G188" s="214" t="n"/>
      <c r="H188" s="214" t="n"/>
      <c r="I188" s="214" t="n"/>
      <c r="J188" s="214" t="n"/>
      <c r="K188" s="214" t="n"/>
      <c r="L188" s="214" t="n"/>
      <c r="M188" s="214" t="n"/>
      <c r="N188" s="214" t="n"/>
      <c r="O188" s="214" t="n"/>
      <c r="P188" s="214" t="n"/>
      <c r="Q188" s="214" t="n"/>
      <c r="R188" s="214" t="n"/>
    </row>
  </sheetData>
  <sheetProtection selectLockedCells="0" selectUnlockedCells="0" sheet="1" objects="0" insertRows="1" insertHyperlinks="1" autoFilter="1" scenarios="0" formatColumns="0" deleteColumns="1" insertColumns="1" pivotTables="1" deleteRows="1" formatCells="0" formatRows="0" sort="1"/>
  <mergeCells count="6">
    <mergeCell ref="A3:R3"/>
    <mergeCell ref="A174:R188"/>
    <mergeCell ref="A169:L169"/>
    <mergeCell ref="A168:L168"/>
    <mergeCell ref="A167:L167"/>
    <mergeCell ref="A170:R173"/>
  </mergeCells>
  <printOptions gridLines="1"/>
  <pageMargins left="0.433070866141732" right="0.433070866141732" top="0.555555555555555" bottom="0.433070866141732" header="0.15748031496063" footer="0.15748031496063"/>
  <pageSetup orientation="landscape" paperSize="9"/>
  <headerFooter differentFirst="1" alignWithMargins="0">
    <oddHeader>&amp;CInventaire_x000a_  “Signalétique promotionnelle et scénographique éco-responsable _Marché conjoint Ville de Mons et CPAS de Mons - Lot 2 (Signalétique intérieure)”</oddHeader>
    <oddFooter>&amp;CRéférence CCH : BO.F.2026/Signalétique int &amp; ext/GC&amp;R&amp;P/&amp;N</oddFooter>
    <evenHeader/>
    <evenFooter/>
    <firstHeader/>
    <firstFooter>&amp;CRéférence CCH : BO.F.2026/Signalétique int &amp; ext/GC&amp;R&amp;P/&amp;N</firstFooter>
  </headerFooter>
</worksheet>
</file>

<file path=xl/worksheets/sheet3.xml><?xml version="1.0" encoding="utf-8"?>
<worksheet xmlns="http://schemas.openxmlformats.org/spreadsheetml/2006/main">
  <sheetPr codeName="Blad3">
    <outlinePr summaryBelow="1" summaryRight="1"/>
    <pageSetUpPr/>
  </sheetPr>
  <dimension ref="A1:G16"/>
  <sheetViews>
    <sheetView showZeros="0" workbookViewId="0">
      <pane ySplit="3" topLeftCell="A4" activePane="bottomLeft" state="frozen"/>
      <selection pane="bottomLeft" activeCell="A4" sqref="A4"/>
    </sheetView>
  </sheetViews>
  <sheetFormatPr baseColWidth="10" defaultColWidth="9.109375" defaultRowHeight="10.2"/>
  <cols>
    <col width="48.6640625" customWidth="1" style="45" min="1" max="1"/>
    <col width="8" customWidth="1" style="46" min="2" max="2"/>
    <col width="15.6640625" customWidth="1" style="218" min="3" max="3"/>
    <col width="40.6640625" customWidth="1" style="219" min="4" max="4"/>
    <col width="18.6640625" customWidth="1" style="220" min="5" max="5"/>
    <col width="7.6640625" customWidth="1" style="48" min="6" max="6"/>
    <col hidden="1" width="12.109375" customWidth="1" style="221" min="7" max="7"/>
    <col width="12.109375" customWidth="1" style="44" min="8" max="8"/>
    <col width="9.109375" customWidth="1" style="44" min="9" max="9"/>
    <col width="9.109375" customWidth="1" style="44" min="10" max="16384"/>
  </cols>
  <sheetData>
    <row r="1" hidden="1" customFormat="1" s="40">
      <c r="A1" s="104" t="n"/>
      <c r="B1" s="105" t="n"/>
      <c r="C1" s="195" t="n"/>
      <c r="D1" s="222" t="n"/>
      <c r="E1" s="222" t="n"/>
      <c r="F1" s="105" t="n"/>
      <c r="G1" s="223" t="n"/>
    </row>
    <row r="2" hidden="1" customFormat="1" s="40">
      <c r="A2" s="104" t="n"/>
      <c r="B2" s="108" t="n"/>
      <c r="C2" s="210" t="n"/>
      <c r="D2" s="224" t="n"/>
      <c r="E2" s="225" t="n"/>
      <c r="F2" s="108" t="n"/>
      <c r="G2" s="226" t="n"/>
    </row>
    <row r="3" customFormat="1" s="43">
      <c r="A3" s="112" t="inlineStr">
        <is>
          <t>Description</t>
        </is>
      </c>
      <c r="B3" s="113" t="inlineStr">
        <is>
          <t>Q</t>
        </is>
      </c>
      <c r="C3" s="227" t="inlineStr">
        <is>
          <t>PU en chiffres</t>
        </is>
      </c>
      <c r="D3" s="228" t="inlineStr">
        <is>
          <t>PU en lettres</t>
        </is>
      </c>
      <c r="E3" s="229" t="inlineStr">
        <is>
          <t>Total</t>
        </is>
      </c>
      <c r="F3" s="116" t="inlineStr">
        <is>
          <t>TVA %</t>
        </is>
      </c>
      <c r="G3" s="230" t="inlineStr">
        <is>
          <t>TVA</t>
        </is>
      </c>
    </row>
    <row r="4" ht="30" customHeight="1">
      <c r="A4" s="118" t="n"/>
      <c r="B4" s="119" t="n"/>
      <c r="C4" s="231" t="n"/>
      <c r="D4" s="120" t="n"/>
      <c r="E4" s="232">
        <f>ROUND(B4*C4,2)</f>
        <v/>
      </c>
      <c r="F4" s="122" t="n"/>
      <c r="G4" s="233">
        <f>E4*F4</f>
        <v/>
      </c>
    </row>
    <row r="5" ht="30" customHeight="1">
      <c r="A5" s="118" t="n"/>
      <c r="B5" s="119" t="n"/>
      <c r="C5" s="231" t="n"/>
      <c r="D5" s="120" t="n"/>
      <c r="E5" s="232">
        <f>ROUND(B5*C5,2)</f>
        <v/>
      </c>
      <c r="F5" s="122" t="n"/>
      <c r="G5" s="233">
        <f>E5*F5</f>
        <v/>
      </c>
    </row>
    <row r="6" ht="30" customHeight="1">
      <c r="A6" s="118" t="n"/>
      <c r="B6" s="119" t="n"/>
      <c r="C6" s="231" t="n"/>
      <c r="D6" s="120" t="n"/>
      <c r="E6" s="232">
        <f>ROUND(B6*C6,2)</f>
        <v/>
      </c>
      <c r="F6" s="122" t="n"/>
      <c r="G6" s="233">
        <f>E6*F6</f>
        <v/>
      </c>
    </row>
    <row r="7" ht="30" customHeight="1">
      <c r="A7" s="118" t="n"/>
      <c r="B7" s="119" t="n"/>
      <c r="C7" s="231" t="n"/>
      <c r="D7" s="120" t="n"/>
      <c r="E7" s="232">
        <f>ROUND(B7*C7,2)</f>
        <v/>
      </c>
      <c r="F7" s="122" t="n"/>
      <c r="G7" s="233">
        <f>E7*F7</f>
        <v/>
      </c>
    </row>
    <row r="8" ht="30" customHeight="1">
      <c r="A8" s="118" t="n"/>
      <c r="B8" s="119" t="n"/>
      <c r="C8" s="231" t="n"/>
      <c r="D8" s="120" t="n"/>
      <c r="E8" s="232">
        <f>ROUND(B8*C8,2)</f>
        <v/>
      </c>
      <c r="F8" s="122" t="n"/>
      <c r="G8" s="233">
        <f>E8*F8</f>
        <v/>
      </c>
    </row>
    <row r="9" ht="30" customHeight="1">
      <c r="A9" s="118" t="n"/>
      <c r="B9" s="119" t="n"/>
      <c r="C9" s="231" t="n"/>
      <c r="D9" s="120" t="n"/>
      <c r="E9" s="232">
        <f>ROUND(B9*C9,2)</f>
        <v/>
      </c>
      <c r="F9" s="122" t="n"/>
      <c r="G9" s="233">
        <f>E9*F9</f>
        <v/>
      </c>
    </row>
    <row r="10" ht="30" customHeight="1">
      <c r="A10" s="118" t="n"/>
      <c r="B10" s="119" t="n"/>
      <c r="C10" s="231" t="n"/>
      <c r="D10" s="120" t="n"/>
      <c r="E10" s="232">
        <f>ROUND(B10*C10,2)</f>
        <v/>
      </c>
      <c r="F10" s="122" t="n"/>
      <c r="G10" s="233">
        <f>E10*F10</f>
        <v/>
      </c>
    </row>
    <row r="11" ht="30" customHeight="1">
      <c r="A11" s="118" t="n"/>
      <c r="B11" s="119" t="n"/>
      <c r="C11" s="231" t="n"/>
      <c r="D11" s="120" t="n"/>
      <c r="E11" s="232">
        <f>ROUND(B11*C11,2)</f>
        <v/>
      </c>
      <c r="F11" s="122" t="n"/>
      <c r="G11" s="233">
        <f>E11*F11</f>
        <v/>
      </c>
    </row>
    <row r="12" ht="30" customHeight="1">
      <c r="A12" s="118" t="n"/>
      <c r="B12" s="119" t="n"/>
      <c r="C12" s="231" t="n"/>
      <c r="D12" s="120" t="n"/>
      <c r="E12" s="232">
        <f>ROUND(B12*C12,2)</f>
        <v/>
      </c>
      <c r="F12" s="122" t="n"/>
      <c r="G12" s="233">
        <f>E12*F12</f>
        <v/>
      </c>
    </row>
    <row r="13" ht="30" customHeight="1">
      <c r="A13" s="124" t="n"/>
      <c r="B13" s="125" t="n"/>
      <c r="C13" s="234" t="n"/>
      <c r="D13" s="126" t="n"/>
      <c r="E13" s="235">
        <f>ROUND(B13*C13,2)</f>
        <v/>
      </c>
      <c r="F13" s="128" t="n"/>
      <c r="G13" s="236">
        <f>E13*F13</f>
        <v/>
      </c>
    </row>
    <row r="14" ht="30" customHeight="1">
      <c r="A14" s="130" t="n"/>
      <c r="B14" s="131" t="n"/>
      <c r="C14" s="237" t="n"/>
      <c r="D14" s="238" t="inlineStr">
        <is>
          <t xml:space="preserve">Total : </t>
        </is>
      </c>
      <c r="E14" s="239">
        <f>SUM(E4:E13)</f>
        <v/>
      </c>
      <c r="F14" s="134" t="n"/>
      <c r="G14" s="223" t="n"/>
    </row>
    <row r="15" ht="30" customHeight="1">
      <c r="A15" s="135" t="n"/>
      <c r="B15" s="11" t="n"/>
      <c r="C15" s="240" t="n"/>
      <c r="D15" s="241" t="inlineStr">
        <is>
          <t>TVA :</t>
        </is>
      </c>
      <c r="E15" s="224">
        <f>ROUND(SUM(G4:G13),2)</f>
        <v/>
      </c>
      <c r="F15" s="137" t="n"/>
      <c r="G15" s="223" t="n"/>
    </row>
    <row r="16" ht="30" customHeight="1">
      <c r="A16" s="130" t="n"/>
      <c r="B16" s="131" t="n"/>
      <c r="C16" s="237" t="n"/>
      <c r="D16" s="238" t="inlineStr">
        <is>
          <t>Total TVAC :</t>
        </is>
      </c>
      <c r="E16" s="239">
        <f>E14+E15</f>
        <v/>
      </c>
      <c r="F16" s="134" t="n"/>
      <c r="G16" s="223" t="n"/>
    </row>
  </sheetData>
  <sheetProtection selectLockedCells="0" selectUnlockedCells="0" sheet="1" objects="0" insertRows="1" insertHyperlinks="1" autoFilter="1" scenarios="0" formatColumns="0" deleteColumns="1" insertColumns="1" pivotTables="1" deleteRows="1" formatCells="0" formatRows="0" sort="1"/>
  <pageMargins left="0.433070866141732" right="0.433070866141732" top="0.433070866141732" bottom="0.433070866141732" header="0.15748031496063" footer="0.15748031496063"/>
  <pageSetup orientation="landscape" paperSize="9" horizontalDpi="1200" verticalDpi="1200"/>
  <headerFooter alignWithMargins="0">
    <oddHeader>&amp;COmissions pour  “Signalétique promotionnelle et scénographique éco-responsable _Marché conjoint Ville de Mons et CPAS de Mons - Lot 2 (Signalétique intérieure)”</oddHeader>
    <oddFooter>&amp;CRéférence CCH : BO.F.2026/Signalétique int &amp; ext/GC&amp;R&amp;P/&amp;N</oddFooter>
    <evenHeader/>
    <evenFooter/>
    <firstHeader/>
    <firstFooter/>
  </headerFooter>
</worksheet>
</file>

<file path=xl/worksheets/sheet4.xml><?xml version="1.0" encoding="utf-8"?>
<worksheet xmlns="http://schemas.openxmlformats.org/spreadsheetml/2006/main">
  <sheetPr codeName="Blad4">
    <outlinePr summaryBelow="1" summaryRight="1"/>
    <pageSetUpPr/>
  </sheetPr>
  <dimension ref="B1:B21"/>
  <sheetViews>
    <sheetView workbookViewId="0">
      <selection activeCell="B1" sqref="B1"/>
    </sheetView>
  </sheetViews>
  <sheetFormatPr baseColWidth="10" defaultColWidth="9.109375" defaultRowHeight="13.2"/>
  <cols>
    <col width="9.109375" customWidth="1" min="1" max="1"/>
    <col width="68.109375" customWidth="1" style="12" min="2" max="2"/>
    <col width="9.109375" customWidth="1" min="3" max="3"/>
  </cols>
  <sheetData>
    <row r="1">
      <c r="B1" s="13" t="inlineStr">
        <is>
          <t>A propos de 3P</t>
        </is>
      </c>
    </row>
    <row r="3" ht="39.6" customHeight="1">
      <c r="B3" s="12" t="inlineStr">
        <is>
          <t>3P - Gestion des marchés publics par une application conviviale pour la gestion, le suivi et l'automatisation des dossiers d'achat des pouvoirs adjudicateurs soumis à la "Législation sur les Marchés Publics".</t>
        </is>
      </c>
    </row>
    <row r="4">
      <c r="B4" s="12" t="inlineStr">
        <is>
          <t>3P englobe la gestion des dossiers de marché public de A à Z :</t>
        </is>
      </c>
    </row>
    <row r="5">
      <c r="B5" s="12" t="inlineStr">
        <is>
          <t>du budget à l'exécution</t>
        </is>
      </c>
    </row>
    <row r="6" ht="105.6" customHeight="1">
      <c r="B6" s="12" t="inlineStr">
        <is>
          <t>3P est le seul programme sur le marché à proposer la gestion aussi bien de travaux que de fournitures et services, et ceci pour toutes les procédures, nationales ou européennes. Le suivi budgétaire (budget, crédits, subsides, amendes, cautions, ...), le suivi administratif ainsi que la génération de documents (tous les documents requis par la loi sont repris!), le suivi technique (métrés, états d'avancement, ...), toutes les opérations de calcul (prix anormaux, omissions, décompte final, ...) : tous sont repris dans le programme 3P, le seul programme vous proposant une gestion aussi complète de vos marchés publics.</t>
        </is>
      </c>
    </row>
    <row r="7" ht="66" customHeight="1">
      <c r="B7" s="12" t="inlineStr">
        <is>
          <t>3P a été élaboré en collaboration avec un groupe d'administrations publiques, allant des "autorités classiques" (communes, villes, autorités provinciales, ministères,...) aux entreprises d'intérêt public (tranports publics, gestion des eaux, ...) en passant par les entreprises publiques "commerciales". En bref, le programme est parfaitement adapté à tous les services publics.</t>
        </is>
      </c>
    </row>
    <row r="8" ht="52.8" customHeight="1">
      <c r="B8" s="12" t="inlineStr">
        <is>
          <t>3P est une application très conviviale et rapide, aussi bien à l'utilisation qu'à l'entretien. L'utilisateur ne rencontrera que très rarement un "sablier", les écrans s'affichent en quelques dizièmes de secondes. Grâce à la gestion automatique des versions, il n'est nul besoin d'un gestionnaire système pour 3P.</t>
        </is>
      </c>
    </row>
    <row r="9" ht="66" customHeight="1">
      <c r="B9" s="12" t="inlineStr">
        <is>
          <t>Comme les nombreux utilisateurs de 3P, vous vous sentirez immédiatement à l'aise dans 3P. Ceci non seulement grâce à l'utilisation des technologies de pointe les plus modernes mais également grâce au fait que les utilisateurs actuels de 3P ont été impliqués depuis le début dans l'élaboration du programme, et qu'avec nous, ils ont jaugé toutes les fonctionnalités de 3P.</t>
        </is>
      </c>
    </row>
    <row r="10" ht="26.4" customHeight="1">
      <c r="B10" s="12" t="inlineStr">
        <is>
          <t>Et enfin... 3P vous est proposé à des tarifs imbattables! 3P est donc à la portée de toutes les administrations publiques.</t>
        </is>
      </c>
    </row>
    <row r="11">
      <c r="B11" s="12" t="inlineStr">
        <is>
          <t>Nous vous souhaitons une fructueuse utilisation de 3P !</t>
        </is>
      </c>
    </row>
    <row r="13">
      <c r="B13" s="12" t="inlineStr">
        <is>
          <t>L'équipe de 3P</t>
        </is>
      </c>
    </row>
    <row r="15">
      <c r="B15" s="12" t="inlineStr">
        <is>
          <t>Contact:</t>
        </is>
      </c>
    </row>
    <row r="16">
      <c r="B16" s="12" t="inlineStr">
        <is>
          <t>3P</t>
        </is>
      </c>
    </row>
    <row r="17">
      <c r="B17" s="12" t="inlineStr">
        <is>
          <t>Verviersstraat 1</t>
        </is>
      </c>
    </row>
    <row r="18">
      <c r="B18" s="12" t="inlineStr">
        <is>
          <t>2000 Anvers</t>
        </is>
      </c>
    </row>
    <row r="19">
      <c r="B19" s="12" t="inlineStr">
        <is>
          <t>Tél: 03/294.30.51</t>
        </is>
      </c>
    </row>
    <row r="20">
      <c r="B20" s="12" t="inlineStr">
        <is>
          <t>Fax: 03/294.30.52</t>
        </is>
      </c>
    </row>
    <row r="21">
      <c r="B21" s="12" t="inlineStr">
        <is>
          <t>info@3p.eu</t>
        </is>
      </c>
    </row>
  </sheetData>
  <pageMargins left="0.75" right="0.75" top="1" bottom="1" header="0.5" footer="0.5"/>
  <pageSetup orientation="portrait" paperSize="9" horizontalDpi="1200" verticalDpi="1200"/>
</worksheet>
</file>

<file path=xl/worksheets/sheet5.xml><?xml version="1.0" encoding="utf-8"?>
<worksheet xmlns="http://schemas.openxmlformats.org/spreadsheetml/2006/main">
  <sheetPr codeName="Blad5">
    <outlinePr summaryBelow="1" summaryRight="1"/>
    <pageSetUpPr/>
  </sheetPr>
  <dimension ref="A2:B20"/>
  <sheetViews>
    <sheetView topLeftCell="A7" workbookViewId="0">
      <selection activeCell="E15" sqref="E15"/>
    </sheetView>
  </sheetViews>
  <sheetFormatPr baseColWidth="10" defaultColWidth="9.109375" defaultRowHeight="13.2"/>
  <cols>
    <col width="21.6640625" customWidth="1" style="54" min="1" max="1"/>
    <col width="76.88671875" customWidth="1" style="54" min="2" max="2"/>
    <col width="9.109375" customWidth="1" style="54" min="3" max="3"/>
    <col width="9.109375" customWidth="1" style="54" min="4" max="16384"/>
  </cols>
  <sheetData>
    <row r="2">
      <c r="A2" s="54" t="inlineStr">
        <is>
          <t>Version</t>
        </is>
      </c>
      <c r="B2" s="54" t="inlineStr">
        <is>
          <t>1.1</t>
        </is>
      </c>
    </row>
    <row r="3">
      <c r="A3" s="53" t="inlineStr">
        <is>
          <t>1. Titres</t>
        </is>
      </c>
      <c r="B3" s="53" t="inlineStr">
        <is>
          <t>Seules les colonnes suivantes sont importantes pour l'importation:</t>
        </is>
      </c>
    </row>
    <row r="4">
      <c r="A4" s="55" t="inlineStr">
        <is>
          <t>Description</t>
        </is>
      </c>
      <c r="B4" s="54" t="inlineStr">
        <is>
          <t>Pour une ligne blanche, vous pouvez simplement laisser cette colonne vide.</t>
        </is>
      </c>
    </row>
    <row r="5">
      <c r="A5" s="55" t="inlineStr">
        <is>
          <t>Référence</t>
        </is>
      </c>
      <c r="B5" s="54" t="inlineStr">
        <is>
          <t>Référence au CSCH-type ou à votre propre numérotation.</t>
        </is>
      </c>
    </row>
    <row r="6">
      <c r="A6" s="55" t="inlineStr">
        <is>
          <t>(Référence complémentaire)</t>
        </is>
      </c>
      <c r="B6" s="56" t="inlineStr">
        <is>
          <t>P.ex. pour mentionner qu'il s'agit d'un chapitre qui n'apparaît pas dans le CSCH-type</t>
        </is>
      </c>
    </row>
    <row r="7">
      <c r="A7" s="53" t="inlineStr">
        <is>
          <t>2. Sous-totaux</t>
        </is>
      </c>
      <c r="B7" s="53" t="inlineStr">
        <is>
          <t xml:space="preserve">Pour les sous-totaux, seules les colonnes suivantes sont pertinentes pour l’import : </t>
        </is>
      </c>
    </row>
    <row r="8">
      <c r="A8" s="55" t="inlineStr">
        <is>
          <t>Description</t>
        </is>
      </c>
      <c r="B8" s="54" t="inlineStr">
        <is>
          <t>Courte description, ex. « sous-total 1 : travaux d’égouttage »</t>
        </is>
      </c>
    </row>
    <row r="9" ht="26.4" customHeight="1">
      <c r="A9" s="55" t="inlineStr">
        <is>
          <t>Total</t>
        </is>
      </c>
      <c r="B9" s="56" t="inlineStr">
        <is>
          <t>Total des postes ci-dessus (PUxQ). Important : ce total doit pouvoir être calculé dans excel via la fonction « Somme » !</t>
        </is>
      </c>
    </row>
    <row r="10">
      <c r="A10" s="53" t="inlineStr">
        <is>
          <t>3. Postes</t>
        </is>
      </c>
      <c r="B10" s="57" t="inlineStr">
        <is>
          <t>Explication des colonnes</t>
        </is>
      </c>
    </row>
    <row r="11" ht="52.8" customHeight="1">
      <c r="A11" s="55" t="inlineStr">
        <is>
          <t>Numérotation</t>
        </is>
      </c>
      <c r="B11" s="56" t="inlineStr">
        <is>
          <t>Numérotation (champ intègre non modifiable). Laisser cette colonne vide. 3P définit la numérotation suivant l'ordre des postes. Si vous avez votre propre numérotation, vous pouvez l'ajouter dans la colonne Référence (qui sert normalement à la référence du CSCH-type).</t>
        </is>
      </c>
    </row>
    <row r="12">
      <c r="A12" s="55" t="inlineStr">
        <is>
          <t>Référence</t>
        </is>
      </c>
      <c r="B12" s="54" t="inlineStr">
        <is>
          <t>Référence à un poste complémentaire dans le CSCH-type.</t>
        </is>
      </c>
    </row>
    <row r="13">
      <c r="A13" s="55" t="inlineStr">
        <is>
          <t>Référence complémentaire</t>
        </is>
      </c>
      <c r="B13" s="56" t="inlineStr">
        <is>
          <t>P.ex. pour mentionner qu'il s'agit d'un poste qui n'apparaît pas dans le CSCH-type</t>
        </is>
      </c>
    </row>
    <row r="14">
      <c r="A14" s="55" t="inlineStr">
        <is>
          <t>Description</t>
        </is>
      </c>
      <c r="B14" s="54" t="inlineStr">
        <is>
          <t>Description obligatoire du poste</t>
        </is>
      </c>
    </row>
    <row r="15" ht="335.25" customHeight="1">
      <c r="A15" s="55" t="inlineStr">
        <is>
          <t>Type</t>
        </is>
      </c>
      <c r="B15" s="56" t="inlineStr">
        <is>
          <t xml:space="preserve">Vous pouvez compléter ici suivant une des possibilités suivantes :
o QP ou Q.P. : un poste à quantité présumée. Ceci signifie que la quantité du poste ne peut être définie avec précision à l'avance dans le CSCH et qu'il ne peut donc être donné qu'une approximation. Pendant l'exécution, cette quantité peut s'avérer supérieure ou inférieure à la quantité présumée signifiée donc dans le CSCH. Lors du décompte final, le décompte de tous les QP est toujours fait séparément.
o QF ou Q.F. : un poste à quantité forfaitaire. Ceci signifie que la quantité du poste est définie avec exactitude dans le CSCH et ne peut en aucun cas être dépassée pendant l'exécution, sauf suite à l'approbation d'un décompte.
o PT / PG : un poste à prix total / global. La quantité est 1, le prix total du poste est donné.
o MF : un poste à montant fixe. Ceci signifie que le montant est fixé à l'avance et qu'il sera le même dans toutes les offres, p.ex. pour les essais. 
o SR : une somme réservée. Ici aussi, le montant est fixé à l'avance et sera le même dans toutes les offres, p.ex. pour des travaux supplémentaires. Cette somme ne sera typiquement pas entièrement utilisée.
N'est pas sensible à la casse (majuscules). Si non complété, 3P suppose qu'il s'agit d'une quantité présumée (QP).
o PM : un poste pour mémoire. Ceci est une ligne où l'on n'ajoute pas d'estimation ou de quantité, mais utilisée à titre informatif. (par exemple: pour mentionner quels éléments sont inclus dans les postes ci-dessus). Si l’on ajoute une estimation et une quantité, ce poste sera repris dans la liste des postes du métré, mais le prix n’est pas comptabilisé dans l’estimation ou l’offre (et n’est pas montré au soumissionnaire).
o SAJ (wallonie uniquement) : une somme à justifier. Le montant est fixé à l'avance et sera le même dans toutes les offres, p.ex. pour des travaux supplémentaires. </t>
        </is>
      </c>
    </row>
    <row r="16">
      <c r="A16" s="55" t="inlineStr">
        <is>
          <t>U</t>
        </is>
      </c>
      <c r="B16" s="54" t="inlineStr">
        <is>
          <t>Unité</t>
        </is>
      </c>
    </row>
    <row r="17">
      <c r="A17" s="55" t="inlineStr">
        <is>
          <t>Q</t>
        </is>
      </c>
      <c r="B17" s="56" t="inlineStr">
        <is>
          <t>Quantité du poste. Via ce champ, 3P différencie un poste d'un titre.</t>
        </is>
      </c>
    </row>
    <row r="18">
      <c r="A18" s="55" t="inlineStr">
        <is>
          <t>PU</t>
        </is>
      </c>
      <c r="B18" s="56" t="inlineStr">
        <is>
          <t>Prix unitaire du poste (0 = poste gratuit)</t>
        </is>
      </c>
    </row>
    <row r="19">
      <c r="A19" s="55" t="inlineStr">
        <is>
          <t>Total</t>
        </is>
      </c>
      <c r="B19" s="56" t="inlineStr">
        <is>
          <t>Ce résultat est calculé par 3P et arrondi à 2 chiffres après la virgule</t>
        </is>
      </c>
    </row>
    <row r="20" ht="52.8" customHeight="1">
      <c r="A20" s="55" t="inlineStr">
        <is>
          <t>TVA%</t>
        </is>
      </c>
      <c r="B20" s="56" t="inlineStr">
        <is>
          <t>Si vous ne complétez pas ceci, 3P suppose que vous reprenez le pourcentage standard de TVA de votre pouvoir adjudicateur (souvent 21%¨). Pour un poste sans TVA ou avec un autre pourcentage de TVA, veillez à compléter le pourcentage en question. Le total TVA par pourcentage est également arrondi à 2 chiffres après la virgule.</t>
        </is>
      </c>
    </row>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3P</dc:creator>
  <dcterms:created xmlns:dcterms="http://purl.org/dc/terms/" xmlns:xsi="http://www.w3.org/2001/XMLSchema-instance" xsi:type="dcterms:W3CDTF">2004-01-29T18:35:10Z</dcterms:created>
  <dcterms:modified xmlns:dcterms="http://purl.org/dc/terms/" xmlns:xsi="http://www.w3.org/2001/XMLSchema-instance" xsi:type="dcterms:W3CDTF">2026-10-11T10:57:29Z</dcterms:modified>
  <cp:lastModifiedBy>Coppolino Giacoma</cp:lastModifiedBy>
  <cp:lastPrinted>2012-04-05T13:12:06Z</cp:lastPrinted>
</cp:coreProperties>
</file>